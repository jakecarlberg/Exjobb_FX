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mc:AlternateContent xmlns:mc="http://schemas.openxmlformats.org/markup-compatibility/2006">
    <mc:Choice Requires="x15">
      <x15ac:absPath xmlns:x15ac="http://schemas.microsoft.com/office/spreadsheetml/2010/11/ac" url="\\stuur01.it.liu.se\students\jacca472\Downloads\"/>
    </mc:Choice>
  </mc:AlternateContent>
  <xr:revisionPtr revIDLastSave="0" documentId="13_ncr:1_{D279388E-1389-4616-8757-181789A59EF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come Statemen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C29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C21" i="2"/>
</calcChain>
</file>

<file path=xl/sharedStrings.xml><?xml version="1.0" encoding="utf-8"?>
<sst xmlns="http://schemas.openxmlformats.org/spreadsheetml/2006/main" count="309" uniqueCount="266">
  <si>
    <t>Company Fundamentals - Income Statement</t>
  </si>
  <si>
    <t>Company Name</t>
  </si>
  <si>
    <t>Sandvik AB (SAND.ST)</t>
  </si>
  <si>
    <t>Country of Exchange</t>
  </si>
  <si>
    <t>Sweden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</si>
  <si>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</si>
  <si>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</si>
  <si>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</si>
  <si>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</si>
  <si>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</si>
  <si>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</si>
  <si>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</si>
  <si>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</si>
  <si>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</si>
  <si>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</si>
  <si>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</si>
  <si>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</si>
  <si>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</si>
  <si>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</si>
  <si>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</si>
  <si>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</si>
  <si>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</si>
  <si>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</si>
  <si>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</si>
  <si>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</si>
  <si>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</si>
  <si>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</si>
  <si>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</si>
  <si>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</si>
  <si>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</si>
  <si>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</si>
  <si>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</si>
  <si>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</si>
  <si>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</si>
  <si>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</si>
  <si>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</si>
  <si>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</si>
  <si>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</si>
  <si>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Period End Date</t>
  </si>
  <si>
    <t>Standardized Currency</t>
  </si>
  <si>
    <t>SEK</t>
  </si>
  <si>
    <t>Complete Statement</t>
  </si>
  <si>
    <t>Complete</t>
  </si>
  <si>
    <t>Income Statement - Standardized (Currency: Swedish Krona)</t>
  </si>
  <si>
    <t>Field Name</t>
  </si>
  <si>
    <t>31-12-2006</t>
  </si>
  <si>
    <t>31-12-2007</t>
  </si>
  <si>
    <t>31-12-2008</t>
  </si>
  <si>
    <t>31-12-2009</t>
  </si>
  <si>
    <t>31-12-2010</t>
  </si>
  <si>
    <t>31-12-2011</t>
  </si>
  <si>
    <t>31-12-2012</t>
  </si>
  <si>
    <t>31-12-2013</t>
  </si>
  <si>
    <t>31-12-2014</t>
  </si>
  <si>
    <t>31-12-2015</t>
  </si>
  <si>
    <t>31-12-2016</t>
  </si>
  <si>
    <t>31-12-2017</t>
  </si>
  <si>
    <t>31-12-2018</t>
  </si>
  <si>
    <t>31-12-2019</t>
  </si>
  <si>
    <t>31-12-2020</t>
  </si>
  <si>
    <t>31-12-2021</t>
  </si>
  <si>
    <t>31-12-2022</t>
  </si>
  <si>
    <t>31-12-2023</t>
  </si>
  <si>
    <t>31-12-2024</t>
  </si>
  <si>
    <t>31-12-2025</t>
  </si>
  <si>
    <t>Revenues</t>
  </si>
  <si>
    <t>Revenue from Goods &amp; Services</t>
  </si>
  <si>
    <t>Sales of Goods &amp; Services - Net - Unclassified</t>
  </si>
  <si>
    <t>Revenue from Business Activities - Total</t>
  </si>
  <si>
    <t>Revenue growth, %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</si>
  <si>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</si>
  <si>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</si>
  <si>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</si>
  <si>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</si>
  <si>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</si>
  <si>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</si>
  <si>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Gross Profit - Industrials/Property - Total</t>
  </si>
  <si>
    <t>Gross Margin</t>
  </si>
  <si>
    <t>Selling, General &amp; Administrative Expenses - Total</t>
  </si>
  <si>
    <t>Selling, General &amp; Administrative Expenses - Unclassified</t>
  </si>
  <si>
    <t>Research &amp; Development Expense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</si>
  <si>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</si>
  <si>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</si>
  <si>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</si>
  <si>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</si>
  <si>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</si>
  <si>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</si>
  <si>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</si>
  <si>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</si>
  <si>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</si>
  <si>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</si>
  <si>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</si>
  <si>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</si>
  <si>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</si>
  <si>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</si>
  <si>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</si>
  <si>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</si>
  <si>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</si>
  <si>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</si>
  <si>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</si>
  <si>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</si>
  <si>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</si>
  <si>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Sale of Leased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</si>
  <si>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</si>
  <si>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</si>
  <si>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</si>
  <si>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</si>
  <si>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</si>
  <si>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</si>
  <si>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</si>
  <si>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</si>
  <si>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</si>
  <si>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</si>
  <si>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Financial Investments</t>
  </si>
  <si>
    <t>Restructuring Charges</t>
  </si>
  <si>
    <t>Litigation Expenses/Settlements</t>
  </si>
  <si>
    <t>Derivatives - Hedging - Gain/(Loss)</t>
  </si>
  <si>
    <t>Unrealized Adjustments on Derivatives for Hedging</t>
  </si>
  <si>
    <t>Sale &amp; Acquisition of Group Companies - Gain/(Loss)</t>
  </si>
  <si>
    <t>Valuation of Inventory - Gain/(Loss)</t>
  </si>
  <si>
    <t>COVID-19 Non-Recurring Income/(Expense) - Total</t>
  </si>
  <si>
    <t>COVID-19 One-time Government Grants Received</t>
  </si>
  <si>
    <t>Non-Recurring Income/(Expense) - Other - Total</t>
  </si>
  <si>
    <t>Pre-Tax Income</t>
  </si>
  <si>
    <t>Income before Taxes</t>
  </si>
  <si>
    <t>Taxes</t>
  </si>
  <si>
    <t>Income Taxes</t>
  </si>
  <si>
    <t>Income Taxes for the Year - Current</t>
  </si>
  <si>
    <t>Income Taxes - Other (KFAS/NLST)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</si>
  <si>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</si>
  <si>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</si>
  <si>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</si>
  <si>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</si>
  <si>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</si>
  <si>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</si>
  <si>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</si>
  <si>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</si>
  <si>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</si>
  <si>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</si>
  <si>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Sale of Discontinued Operations - Net - Gain/(Loss)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</si>
  <si>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</si>
  <si>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</si>
  <si>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</si>
  <si>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</si>
  <si>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</si>
  <si>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</si>
  <si>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</si>
  <si>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</si>
  <si>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</si>
  <si>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</si>
  <si>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</si>
  <si>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</si>
  <si>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</si>
  <si>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</si>
  <si>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</si>
  <si>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</si>
  <si>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</si>
  <si>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</si>
  <si>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</si>
  <si>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</si>
  <si>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</si>
  <si>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</si>
  <si>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</si>
  <si>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</si>
  <si>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</si>
  <si>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</si>
  <si>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</si>
  <si>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</si>
  <si>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</si>
  <si>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</si>
  <si>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</si>
  <si>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</si>
  <si>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</si>
  <si>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Shares used to calculate Basic EPS - Issue Specific - DR</t>
  </si>
  <si>
    <t>EPS - Basic - including Extraordinary Items Applicable to Common - Issue Specific - DR</t>
  </si>
  <si>
    <t>EPS - Basic - excluding Extraordinary Items Applicable to Common - Issue Specific - DR</t>
  </si>
  <si>
    <t>EPS - Basic - excluding Extraordinary Items - Normalized - Issue Specific - DR</t>
  </si>
  <si>
    <t>EPS - Basic from Discontinued Operations &amp; Extraordinary Items</t>
  </si>
  <si>
    <t>Comprehensive Earnings Per Share - Basic - Issue Specific</t>
  </si>
  <si>
    <t>Comprehensive Earnings Per Share - Basic - Issue Specific - DR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</si>
  <si>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</si>
  <si>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</si>
  <si>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</si>
  <si>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</si>
  <si>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</si>
  <si>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</si>
  <si>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</si>
  <si>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</si>
  <si>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</si>
  <si>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</si>
  <si>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</si>
  <si>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</si>
  <si>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</si>
  <si>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</si>
  <si>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Shares used to calculate Diluted EPS - Issue Specific - DR</t>
  </si>
  <si>
    <t>EPS - Diluted - including Extraordinary Items Applicable to Common - Issue Specific - DR</t>
  </si>
  <si>
    <t>EPS - Diluted - excluding Extraordinary Items Applicable to Common - Issue Specific - DR</t>
  </si>
  <si>
    <t>EPS - Diluted - excluding Extraordinary Items - Normalized - Issue Specific - DR</t>
  </si>
  <si>
    <t>EPS - Diluted from Discontinued Operations &amp; Extraordinary Items</t>
  </si>
  <si>
    <t>Comprehensive Earnings Per Share - Diluted - Issue Specific</t>
  </si>
  <si>
    <t>Comprehensive Earnings Per Share - Diluted - Issue Specific - DR</t>
  </si>
  <si>
    <t>Share/Per Share - Dividends</t>
  </si>
  <si>
    <t>DPS - Common - Gross - Issue - By Announcement Date</t>
  </si>
  <si>
    <t>DPS - Common - Net - Issue - By Announcement Date</t>
  </si>
  <si>
    <t>DPS - Common - Gross - Issue - DR - By Announcement Date</t>
  </si>
  <si>
    <t>DPS - Common - Net - Issue - DR - By Announcement Date</t>
  </si>
  <si>
    <t>DPS - Special - Gross - Issue - DR - By Announcement Date</t>
  </si>
  <si>
    <t>DPS - Special - Net - Issue - DR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</si>
  <si>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</si>
  <si>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</si>
  <si>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</si>
  <si>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</si>
  <si>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</si>
  <si>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</si>
  <si>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</si>
  <si>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</si>
  <si>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</si>
  <si>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</si>
  <si>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</si>
  <si>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</si>
  <si>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</si>
  <si>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</si>
  <si>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</si>
  <si>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</si>
  <si>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</si>
  <si>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</si>
  <si>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</si>
  <si>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</si>
  <si>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</si>
  <si>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</si>
  <si>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</si>
  <si>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</si>
  <si>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</si>
  <si>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</si>
  <si>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</si>
  <si>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</si>
  <si>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</si>
  <si>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</si>
  <si>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Net Earnings - Company Reported</t>
  </si>
  <si>
    <t>Non-GAAP Adjusted EBITDA - Company Reported</t>
  </si>
  <si>
    <t>Non-GAAP EPS Basic - Company Reported</t>
  </si>
  <si>
    <t>Non-GAAP EPS Diluted - Company Reported</t>
  </si>
  <si>
    <t>Non-GAAP Operating Margin %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</si>
  <si>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</si>
  <si>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</si>
  <si>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</si>
  <si>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</si>
  <si>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</si>
  <si>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</si>
  <si>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</si>
  <si>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</si>
  <si>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</si>
  <si>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Lease Expenses</t>
  </si>
  <si>
    <t>Lease Expense -Total - Supplemental</t>
  </si>
  <si>
    <t>Depreciation of Financial Lease ROU Assets - Supplemental</t>
  </si>
  <si>
    <t>Variable Lease Expense - Unclassified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</si>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</sst>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#,##0.0"/>
    <numFmt numFmtId="166" formatCode="[&gt;=100]##,##0.0\%;[&lt;=-100]\-##,##0.0\%;##,##0.0\%"/>
    <numFmt numFmtId="167" formatCode="0.0%"/>
  </numFmts>
  <fonts count="9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  <font>
      <i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4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3" fontId="6" fillId="0" borderId="3" xfId="0" applyNumberFormat="1" applyFont="1" applyBorder="1" applyAlignment="1">
      <alignment horizontal="right" vertical="center" wrapText="1"/>
    </xf>
    <xf numFmtId="167" fontId="8" fillId="0" borderId="3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4" fontId="3" fillId="0" borderId="3" xfId="0" applyNumberFormat="1" applyFont="1" applyBorder="1" applyAlignment="1">
      <alignment horizontal="right"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166" fontId="3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21"/>
  <sheetViews>
    <sheetView tabSelected="1" workbookViewId="0">
      <selection activeCell="A26" sqref="A26"/>
    </sheetView>
  </sheetViews>
  <sheetFormatPr defaultRowHeight="15" outlineLevelRow="1"/>
  <cols>
    <col min="1" max="1" width="85.7109375" customWidth="1"/>
    <col min="2" max="21" width="15.7109375" customWidth="1"/>
  </cols>
  <sheetData>
    <row r="1" spans="1:21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3" t="s">
        <v>1</v>
      </c>
      <c r="B2" s="4" t="s">
        <v>2</v>
      </c>
    </row>
    <row r="3" spans="1:21">
      <c r="A3" s="3" t="s">
        <v>3</v>
      </c>
      <c r="B3" s="3" t="s">
        <v>4</v>
      </c>
    </row>
    <row r="4" spans="1:21">
      <c r="A4" s="3" t="s">
        <v>5</v>
      </c>
      <c r="B4" s="3" t="s">
        <v>4</v>
      </c>
    </row>
    <row r="5" spans="1:21">
      <c r="A5" s="3" t="s">
        <v>6</v>
      </c>
      <c r="B5" s="3" t="s">
        <v>7</v>
      </c>
    </row>
    <row r="6" spans="1:21">
      <c r="A6" s="3" t="s">
        <v>8</v>
      </c>
      <c r="B6" s="3" t="s">
        <v>9</v>
      </c>
    </row>
    <row r="7" spans="1:21">
      <c r="A7" s="3" t="s">
        <v>10</v>
      </c>
      <c r="B7" s="3" t="s">
        <v>11</v>
      </c>
    </row>
    <row r="8" spans="1:21">
      <c r="A8" s="3" t="s">
        <v>12</v>
      </c>
      <c r="B8" s="3" t="s">
        <v>13</v>
      </c>
    </row>
    <row r="9" spans="1:21">
      <c r="A9" s="3" t="s">
        <v>14</v>
      </c>
      <c r="B9" s="3" t="s">
        <v>15</v>
      </c>
    </row>
    <row r="10" spans="1:21">
      <c r="A10" s="3" t="s">
        <v>16</v>
      </c>
      <c r="B10" s="5">
        <v>46149.531113750003</v>
      </c>
    </row>
    <row r="11" spans="1:21">
      <c r="A11" s="6" t="s">
        <v>17</v>
      </c>
      <c r="B11" s="25" t="s">
        <v>18</v>
      </c>
      <c r="C11" s="25" t="s">
        <v>19</v>
      </c>
      <c r="D11" s="25" t="s">
        <v>20</v>
      </c>
      <c r="E11" s="25" t="s">
        <v>21</v>
      </c>
      <c r="F11" s="25" t="s">
        <v>22</v>
      </c>
      <c r="G11" s="25" t="s">
        <v>23</v>
      </c>
      <c r="H11" s="25" t="s">
        <v>24</v>
      </c>
      <c r="I11" s="25" t="s">
        <v>25</v>
      </c>
      <c r="J11" s="25" t="s">
        <v>26</v>
      </c>
      <c r="K11" s="25" t="s">
        <v>27</v>
      </c>
      <c r="L11" s="25" t="s">
        <v>28</v>
      </c>
      <c r="M11" s="25" t="s">
        <v>29</v>
      </c>
      <c r="N11" s="25" t="s">
        <v>30</v>
      </c>
      <c r="O11" s="25" t="s">
        <v>31</v>
      </c>
      <c r="P11" s="25" t="s">
        <v>32</v>
      </c>
      <c r="Q11" s="25" t="s">
        <v>33</v>
      </c>
      <c r="R11" s="25" t="s">
        <v>34</v>
      </c>
      <c r="S11" s="25" t="s">
        <v>35</v>
      </c>
      <c r="T11" s="25" t="s">
        <v>36</v>
      </c>
      <c r="U11" s="25" t="s">
        <v>37</v>
      </c>
    </row>
    <row r="12" spans="1:21" ht="15" customHeight="1" outlineLevel="1">
      <c r="A12" s="7" t="s">
        <v>38</v>
      </c>
      <c r="B12" s="23">
        <v>39082</v>
      </c>
      <c r="C12" s="23">
        <v>39447</v>
      </c>
      <c r="D12" s="23">
        <v>39813</v>
      </c>
      <c r="E12" s="23">
        <v>40178</v>
      </c>
      <c r="F12" s="23">
        <v>40543</v>
      </c>
      <c r="G12" s="23">
        <v>40908</v>
      </c>
      <c r="H12" s="23">
        <v>41274</v>
      </c>
      <c r="I12" s="23">
        <v>41639</v>
      </c>
      <c r="J12" s="23">
        <v>42004</v>
      </c>
      <c r="K12" s="23">
        <v>42369</v>
      </c>
      <c r="L12" s="23">
        <v>42735</v>
      </c>
      <c r="M12" s="23">
        <v>43100</v>
      </c>
      <c r="N12" s="23">
        <v>43465</v>
      </c>
      <c r="O12" s="23">
        <v>43830</v>
      </c>
      <c r="P12" s="23">
        <v>44196</v>
      </c>
      <c r="Q12" s="23">
        <v>44561</v>
      </c>
      <c r="R12" s="23">
        <v>44926</v>
      </c>
      <c r="S12" s="23">
        <v>45291</v>
      </c>
      <c r="T12" s="23">
        <v>45657</v>
      </c>
      <c r="U12" s="23">
        <v>46022</v>
      </c>
    </row>
    <row r="13" spans="1:21" ht="15" customHeight="1" outlineLevel="1">
      <c r="A13" s="7" t="s">
        <v>39</v>
      </c>
      <c r="B13" s="23" t="s">
        <v>40</v>
      </c>
      <c r="C13" s="23" t="s">
        <v>40</v>
      </c>
      <c r="D13" s="23" t="s">
        <v>40</v>
      </c>
      <c r="E13" s="23" t="s">
        <v>40</v>
      </c>
      <c r="F13" s="23" t="s">
        <v>40</v>
      </c>
      <c r="G13" s="23" t="s">
        <v>40</v>
      </c>
      <c r="H13" s="23" t="s">
        <v>40</v>
      </c>
      <c r="I13" s="23" t="s">
        <v>40</v>
      </c>
      <c r="J13" s="23" t="s">
        <v>40</v>
      </c>
      <c r="K13" s="23" t="s">
        <v>40</v>
      </c>
      <c r="L13" s="23" t="s">
        <v>40</v>
      </c>
      <c r="M13" s="23" t="s">
        <v>40</v>
      </c>
      <c r="N13" s="23" t="s">
        <v>40</v>
      </c>
      <c r="O13" s="23" t="s">
        <v>40</v>
      </c>
      <c r="P13" s="23" t="s">
        <v>40</v>
      </c>
      <c r="Q13" s="23" t="s">
        <v>40</v>
      </c>
      <c r="R13" s="23" t="s">
        <v>40</v>
      </c>
      <c r="S13" s="23" t="s">
        <v>40</v>
      </c>
      <c r="T13" s="23" t="s">
        <v>40</v>
      </c>
      <c r="U13" s="23" t="s">
        <v>40</v>
      </c>
    </row>
    <row r="14" spans="1:21" ht="15" customHeight="1" outlineLevel="1">
      <c r="A14" s="7" t="s">
        <v>41</v>
      </c>
      <c r="B14" s="24" t="s">
        <v>42</v>
      </c>
      <c r="C14" s="24" t="s">
        <v>42</v>
      </c>
      <c r="D14" s="24" t="s">
        <v>42</v>
      </c>
      <c r="E14" s="24" t="s">
        <v>42</v>
      </c>
      <c r="F14" s="24" t="s">
        <v>42</v>
      </c>
      <c r="G14" s="24" t="s">
        <v>42</v>
      </c>
      <c r="H14" s="24" t="s">
        <v>42</v>
      </c>
      <c r="I14" s="24" t="s">
        <v>42</v>
      </c>
      <c r="J14" s="24" t="s">
        <v>42</v>
      </c>
      <c r="K14" s="24" t="s">
        <v>42</v>
      </c>
      <c r="L14" s="24" t="s">
        <v>42</v>
      </c>
      <c r="M14" s="24" t="s">
        <v>42</v>
      </c>
      <c r="N14" s="24" t="s">
        <v>42</v>
      </c>
      <c r="O14" s="24" t="s">
        <v>42</v>
      </c>
      <c r="P14" s="24" t="s">
        <v>42</v>
      </c>
      <c r="Q14" s="24" t="s">
        <v>42</v>
      </c>
      <c r="R14" s="24" t="s">
        <v>42</v>
      </c>
      <c r="S14" s="24" t="s">
        <v>42</v>
      </c>
      <c r="T14" s="24" t="s">
        <v>42</v>
      </c>
      <c r="U14" s="24" t="s">
        <v>42</v>
      </c>
    </row>
    <row r="15" spans="1:21">
      <c r="A15" s="8" t="s">
        <v>43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>
      <c r="A16" s="8" t="s">
        <v>44</v>
      </c>
      <c r="B16" s="9" t="s">
        <v>45</v>
      </c>
      <c r="C16" s="9" t="s">
        <v>46</v>
      </c>
      <c r="D16" s="9" t="s">
        <v>47</v>
      </c>
      <c r="E16" s="9" t="s">
        <v>48</v>
      </c>
      <c r="F16" s="9" t="s">
        <v>49</v>
      </c>
      <c r="G16" s="9" t="s">
        <v>50</v>
      </c>
      <c r="H16" s="9" t="s">
        <v>51</v>
      </c>
      <c r="I16" s="9" t="s">
        <v>52</v>
      </c>
      <c r="J16" s="9" t="s">
        <v>53</v>
      </c>
      <c r="K16" s="9" t="s">
        <v>54</v>
      </c>
      <c r="L16" s="9" t="s">
        <v>55</v>
      </c>
      <c r="M16" s="9" t="s">
        <v>56</v>
      </c>
      <c r="N16" s="9" t="s">
        <v>57</v>
      </c>
      <c r="O16" s="9" t="s">
        <v>58</v>
      </c>
      <c r="P16" s="9" t="s">
        <v>59</v>
      </c>
      <c r="Q16" s="9" t="s">
        <v>60</v>
      </c>
      <c r="R16" s="9" t="s">
        <v>61</v>
      </c>
      <c r="S16" s="9" t="s">
        <v>62</v>
      </c>
      <c r="T16" s="9" t="s">
        <v>63</v>
      </c>
      <c r="U16" s="9" t="s">
        <v>64</v>
      </c>
    </row>
    <row r="17" spans="1:21" ht="15" customHeight="1">
      <c r="A17" s="10" t="s">
        <v>65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5" customHeight="1">
      <c r="A18" s="12" t="s">
        <v>66</v>
      </c>
      <c r="B18" s="26">
        <v>72289</v>
      </c>
      <c r="C18" s="26">
        <v>86338</v>
      </c>
      <c r="D18" s="26">
        <v>92654</v>
      </c>
      <c r="E18" s="26">
        <v>71937</v>
      </c>
      <c r="F18" s="26">
        <v>82654</v>
      </c>
      <c r="G18" s="26">
        <v>94084</v>
      </c>
      <c r="H18" s="26">
        <v>98529</v>
      </c>
      <c r="I18" s="26">
        <v>87328</v>
      </c>
      <c r="J18" s="26">
        <v>82533</v>
      </c>
      <c r="K18" s="26">
        <v>85845</v>
      </c>
      <c r="L18" s="26">
        <v>81553</v>
      </c>
      <c r="M18" s="26">
        <v>90827</v>
      </c>
      <c r="N18" s="26">
        <v>100072</v>
      </c>
      <c r="O18" s="26">
        <v>103238</v>
      </c>
      <c r="P18" s="26">
        <v>86404</v>
      </c>
      <c r="Q18" s="26">
        <v>85700</v>
      </c>
      <c r="R18" s="26">
        <v>112332</v>
      </c>
      <c r="S18" s="26">
        <v>126503</v>
      </c>
      <c r="T18" s="26">
        <v>122878</v>
      </c>
      <c r="U18" s="26">
        <v>120680</v>
      </c>
    </row>
    <row r="19" spans="1:21" ht="15" customHeight="1">
      <c r="A19" s="13" t="s">
        <v>67</v>
      </c>
      <c r="B19" s="26">
        <v>72289</v>
      </c>
      <c r="C19" s="26">
        <v>86338</v>
      </c>
      <c r="D19" s="26">
        <v>92654</v>
      </c>
      <c r="E19" s="26">
        <v>71937</v>
      </c>
      <c r="F19" s="26">
        <v>82654</v>
      </c>
      <c r="G19" s="26">
        <v>94084</v>
      </c>
      <c r="H19" s="26">
        <v>98529</v>
      </c>
      <c r="I19" s="26">
        <v>87328</v>
      </c>
      <c r="J19" s="26">
        <v>82533</v>
      </c>
      <c r="K19" s="26">
        <v>85845</v>
      </c>
      <c r="L19" s="26">
        <v>81553</v>
      </c>
      <c r="M19" s="26">
        <v>90827</v>
      </c>
      <c r="N19" s="26">
        <v>100072</v>
      </c>
      <c r="O19" s="26">
        <v>103238</v>
      </c>
      <c r="P19" s="26">
        <v>86404</v>
      </c>
      <c r="Q19" s="26">
        <v>85700</v>
      </c>
      <c r="R19" s="26">
        <v>112332</v>
      </c>
      <c r="S19" s="26">
        <v>126503</v>
      </c>
      <c r="T19" s="26">
        <v>122878</v>
      </c>
      <c r="U19" s="26">
        <v>120680</v>
      </c>
    </row>
    <row r="20" spans="1:21" ht="15" customHeight="1">
      <c r="A20" s="14" t="s">
        <v>68</v>
      </c>
      <c r="B20" s="27">
        <v>72289</v>
      </c>
      <c r="C20" s="27">
        <v>86338</v>
      </c>
      <c r="D20" s="27">
        <v>92654</v>
      </c>
      <c r="E20" s="27">
        <v>71937</v>
      </c>
      <c r="F20" s="27">
        <v>82654</v>
      </c>
      <c r="G20" s="27">
        <v>94084</v>
      </c>
      <c r="H20" s="27">
        <v>98529</v>
      </c>
      <c r="I20" s="27">
        <v>87328</v>
      </c>
      <c r="J20" s="27">
        <v>82533</v>
      </c>
      <c r="K20" s="27">
        <v>85845</v>
      </c>
      <c r="L20" s="27">
        <v>81553</v>
      </c>
      <c r="M20" s="27">
        <v>90827</v>
      </c>
      <c r="N20" s="27">
        <v>100072</v>
      </c>
      <c r="O20" s="27">
        <v>103238</v>
      </c>
      <c r="P20" s="27">
        <v>86404</v>
      </c>
      <c r="Q20" s="27">
        <v>85700</v>
      </c>
      <c r="R20" s="27">
        <v>112332</v>
      </c>
      <c r="S20" s="27">
        <v>126503</v>
      </c>
      <c r="T20" s="27">
        <v>122878</v>
      </c>
      <c r="U20" s="27">
        <v>120680</v>
      </c>
    </row>
    <row r="21" spans="1:21" ht="15" customHeight="1">
      <c r="A21" s="14" t="s">
        <v>69</v>
      </c>
      <c r="B21" s="27"/>
      <c r="C21" s="21">
        <f>+C20/B20-1</f>
        <v>0.19434492108066226</v>
      </c>
      <c r="D21" s="21">
        <f t="shared" ref="D21:U21" si="0">+D20/C20-1</f>
        <v>7.3154346869281239E-2</v>
      </c>
      <c r="E21" s="21">
        <f t="shared" si="0"/>
        <v>-0.22359531158935397</v>
      </c>
      <c r="F21" s="21">
        <f t="shared" si="0"/>
        <v>0.14897757760262453</v>
      </c>
      <c r="G21" s="21">
        <f t="shared" si="0"/>
        <v>0.13828731821811413</v>
      </c>
      <c r="H21" s="21">
        <f t="shared" si="0"/>
        <v>4.7245015092895803E-2</v>
      </c>
      <c r="I21" s="21">
        <f t="shared" si="0"/>
        <v>-0.11368226613484356</v>
      </c>
      <c r="J21" s="21">
        <f t="shared" si="0"/>
        <v>-5.4907933308904311E-2</v>
      </c>
      <c r="K21" s="21">
        <f t="shared" si="0"/>
        <v>4.0129402784340851E-2</v>
      </c>
      <c r="L21" s="21">
        <f t="shared" si="0"/>
        <v>-4.99970877744772E-2</v>
      </c>
      <c r="M21" s="21">
        <f t="shared" si="0"/>
        <v>0.11371745981141101</v>
      </c>
      <c r="N21" s="21">
        <f t="shared" si="0"/>
        <v>0.10178691358296543</v>
      </c>
      <c r="O21" s="21">
        <f t="shared" si="0"/>
        <v>3.1637221200735421E-2</v>
      </c>
      <c r="P21" s="21">
        <f t="shared" si="0"/>
        <v>-0.16306011352409</v>
      </c>
      <c r="Q21" s="21">
        <f t="shared" si="0"/>
        <v>-8.1477709365307405E-3</v>
      </c>
      <c r="R21" s="21">
        <f t="shared" si="0"/>
        <v>0.31075845974329064</v>
      </c>
      <c r="S21" s="21">
        <f t="shared" si="0"/>
        <v>0.12615283267457178</v>
      </c>
      <c r="T21" s="21">
        <f t="shared" si="0"/>
        <v>-2.865544690639743E-2</v>
      </c>
      <c r="U21" s="21">
        <f t="shared" si="0"/>
        <v>-1.7887660931981353E-2</v>
      </c>
    </row>
    <row r="22" spans="1:21" ht="15" customHeight="1">
      <c r="A22" s="10" t="s">
        <v>70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5" customHeight="1">
      <c r="A23" s="12" t="s">
        <v>71</v>
      </c>
      <c r="B23" s="26">
        <v>47084</v>
      </c>
      <c r="C23" s="26">
        <v>55976</v>
      </c>
      <c r="D23" s="26">
        <v>61562</v>
      </c>
      <c r="E23" s="26">
        <v>54871</v>
      </c>
      <c r="F23" s="26">
        <v>53131</v>
      </c>
      <c r="G23" s="26">
        <v>61704</v>
      </c>
      <c r="H23" s="26">
        <v>63826</v>
      </c>
      <c r="I23" s="26">
        <v>58184</v>
      </c>
      <c r="J23" s="26">
        <v>51242</v>
      </c>
      <c r="K23" s="26">
        <v>55184</v>
      </c>
      <c r="L23" s="26">
        <v>49869</v>
      </c>
      <c r="M23" s="26">
        <v>54226</v>
      </c>
      <c r="N23" s="26">
        <v>59150</v>
      </c>
      <c r="O23" s="26">
        <v>61340</v>
      </c>
      <c r="P23" s="26">
        <v>54178</v>
      </c>
      <c r="Q23" s="26">
        <v>49027</v>
      </c>
      <c r="R23" s="26">
        <v>66944</v>
      </c>
      <c r="S23" s="26">
        <v>74333</v>
      </c>
      <c r="T23" s="26">
        <v>72634</v>
      </c>
      <c r="U23" s="26">
        <v>71477</v>
      </c>
    </row>
    <row r="24" spans="1:21" ht="15" customHeight="1">
      <c r="A24" s="13" t="s">
        <v>72</v>
      </c>
      <c r="B24" s="26">
        <v>47084</v>
      </c>
      <c r="C24" s="26">
        <v>55976</v>
      </c>
      <c r="D24" s="26">
        <v>61562</v>
      </c>
      <c r="E24" s="26">
        <v>54871</v>
      </c>
      <c r="F24" s="26">
        <v>53131</v>
      </c>
      <c r="G24" s="26">
        <v>61704</v>
      </c>
      <c r="H24" s="26">
        <v>63826</v>
      </c>
      <c r="I24" s="26">
        <v>58184</v>
      </c>
      <c r="J24" s="26">
        <v>51242</v>
      </c>
      <c r="K24" s="26">
        <v>55184</v>
      </c>
      <c r="L24" s="26">
        <v>49869</v>
      </c>
      <c r="M24" s="26">
        <v>54226</v>
      </c>
      <c r="N24" s="26">
        <v>59150</v>
      </c>
      <c r="O24" s="26">
        <v>61340</v>
      </c>
      <c r="P24" s="26">
        <v>54178</v>
      </c>
      <c r="Q24" s="26">
        <v>49027</v>
      </c>
      <c r="R24" s="26">
        <v>66944</v>
      </c>
      <c r="S24" s="26">
        <v>74333</v>
      </c>
      <c r="T24" s="26">
        <v>72634</v>
      </c>
      <c r="U24" s="26">
        <v>71477</v>
      </c>
    </row>
    <row r="25" spans="1:21" ht="15" customHeight="1">
      <c r="A25" s="15" t="s">
        <v>73</v>
      </c>
      <c r="B25" s="26"/>
      <c r="C25" s="26"/>
      <c r="D25" s="26"/>
      <c r="E25" s="26"/>
      <c r="F25" s="26"/>
      <c r="G25" s="26"/>
      <c r="H25" s="26">
        <v>63388</v>
      </c>
      <c r="I25" s="26"/>
      <c r="J25" s="26">
        <v>51115</v>
      </c>
      <c r="K25" s="26">
        <v>55011</v>
      </c>
      <c r="L25" s="26">
        <v>49709</v>
      </c>
      <c r="M25" s="26">
        <v>54012</v>
      </c>
      <c r="N25" s="26">
        <v>58898</v>
      </c>
      <c r="O25" s="26">
        <v>61200</v>
      </c>
      <c r="P25" s="26">
        <v>53755</v>
      </c>
      <c r="Q25" s="26">
        <v>48423</v>
      </c>
      <c r="R25" s="26">
        <v>66000</v>
      </c>
      <c r="S25" s="26">
        <v>73086</v>
      </c>
      <c r="T25" s="26">
        <v>71873</v>
      </c>
      <c r="U25" s="26">
        <v>70781</v>
      </c>
    </row>
    <row r="26" spans="1:21" ht="15" customHeight="1">
      <c r="A26" s="15" t="s">
        <v>74</v>
      </c>
      <c r="B26" s="26"/>
      <c r="C26" s="26"/>
      <c r="D26" s="26"/>
      <c r="E26" s="26"/>
      <c r="F26" s="26"/>
      <c r="G26" s="26"/>
      <c r="H26" s="28">
        <v>438</v>
      </c>
      <c r="I26" s="26"/>
      <c r="J26" s="28">
        <v>127</v>
      </c>
      <c r="K26" s="28">
        <v>173</v>
      </c>
      <c r="L26" s="28">
        <v>160</v>
      </c>
      <c r="M26" s="28">
        <v>214</v>
      </c>
      <c r="N26" s="28">
        <v>252</v>
      </c>
      <c r="O26" s="28">
        <v>140</v>
      </c>
      <c r="P26" s="28">
        <v>123</v>
      </c>
      <c r="Q26" s="28">
        <v>310</v>
      </c>
      <c r="R26" s="28">
        <v>569</v>
      </c>
      <c r="S26" s="28">
        <v>771</v>
      </c>
      <c r="T26" s="28">
        <v>761</v>
      </c>
      <c r="U26" s="28">
        <v>696</v>
      </c>
    </row>
    <row r="27" spans="1:21" ht="15" customHeight="1">
      <c r="A27" s="15" t="s">
        <v>75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8">
        <v>300</v>
      </c>
      <c r="Q27" s="28">
        <v>294</v>
      </c>
      <c r="R27" s="28">
        <v>375</v>
      </c>
      <c r="S27" s="28">
        <v>476</v>
      </c>
      <c r="T27" s="26"/>
      <c r="U27" s="26"/>
    </row>
    <row r="28" spans="1:21" ht="15" customHeight="1">
      <c r="A28" s="14" t="s">
        <v>76</v>
      </c>
      <c r="B28" s="27">
        <v>25205</v>
      </c>
      <c r="C28" s="27">
        <v>30362</v>
      </c>
      <c r="D28" s="27">
        <v>31092</v>
      </c>
      <c r="E28" s="27">
        <v>17066</v>
      </c>
      <c r="F28" s="27">
        <v>29523</v>
      </c>
      <c r="G28" s="27">
        <v>32380</v>
      </c>
      <c r="H28" s="27">
        <v>34703</v>
      </c>
      <c r="I28" s="27">
        <v>29144</v>
      </c>
      <c r="J28" s="27">
        <v>31291</v>
      </c>
      <c r="K28" s="27">
        <v>30661</v>
      </c>
      <c r="L28" s="27">
        <v>31684</v>
      </c>
      <c r="M28" s="27">
        <v>36601</v>
      </c>
      <c r="N28" s="27">
        <v>40922</v>
      </c>
      <c r="O28" s="27">
        <v>41898</v>
      </c>
      <c r="P28" s="27">
        <v>32226</v>
      </c>
      <c r="Q28" s="27">
        <v>36673</v>
      </c>
      <c r="R28" s="27">
        <v>45388</v>
      </c>
      <c r="S28" s="27">
        <v>52170</v>
      </c>
      <c r="T28" s="27">
        <v>50244</v>
      </c>
      <c r="U28" s="27">
        <v>49203</v>
      </c>
    </row>
    <row r="29" spans="1:21" ht="15" customHeight="1">
      <c r="A29" s="22" t="s">
        <v>77</v>
      </c>
      <c r="B29" s="27"/>
      <c r="C29" s="21">
        <f>+C28/C20</f>
        <v>0.35166438879751671</v>
      </c>
      <c r="D29" s="21">
        <f t="shared" ref="D29:U29" si="1">+D28/D20</f>
        <v>0.33557104928011744</v>
      </c>
      <c r="E29" s="21">
        <f t="shared" si="1"/>
        <v>0.23723535871665485</v>
      </c>
      <c r="F29" s="21">
        <f t="shared" si="1"/>
        <v>0.35718779490405789</v>
      </c>
      <c r="G29" s="21">
        <f t="shared" si="1"/>
        <v>0.34416053739211766</v>
      </c>
      <c r="H29" s="21">
        <f t="shared" si="1"/>
        <v>0.35221102416547412</v>
      </c>
      <c r="I29" s="21">
        <f t="shared" si="1"/>
        <v>0.33373030414071087</v>
      </c>
      <c r="J29" s="21">
        <f t="shared" si="1"/>
        <v>0.37913319520676581</v>
      </c>
      <c r="K29" s="21">
        <f t="shared" si="1"/>
        <v>0.35716698701147415</v>
      </c>
      <c r="L29" s="21">
        <f t="shared" si="1"/>
        <v>0.38850808676566162</v>
      </c>
      <c r="M29" s="21">
        <f t="shared" si="1"/>
        <v>0.40297488632234907</v>
      </c>
      <c r="N29" s="21">
        <f t="shared" si="1"/>
        <v>0.40892557358701737</v>
      </c>
      <c r="O29" s="21">
        <f t="shared" si="1"/>
        <v>0.40583893527577053</v>
      </c>
      <c r="P29" s="21">
        <f t="shared" si="1"/>
        <v>0.37296884403499836</v>
      </c>
      <c r="Q29" s="21">
        <f t="shared" si="1"/>
        <v>0.42792298716452742</v>
      </c>
      <c r="R29" s="21">
        <f t="shared" si="1"/>
        <v>0.40405227361749102</v>
      </c>
      <c r="S29" s="21">
        <f t="shared" si="1"/>
        <v>0.41240128692600175</v>
      </c>
      <c r="T29" s="21">
        <f t="shared" si="1"/>
        <v>0.40889337391559105</v>
      </c>
      <c r="U29" s="21">
        <f t="shared" si="1"/>
        <v>0.40771461716937357</v>
      </c>
    </row>
    <row r="30" spans="1:21" ht="15" customHeight="1">
      <c r="A30" s="12" t="s">
        <v>78</v>
      </c>
      <c r="B30" s="26">
        <v>13449</v>
      </c>
      <c r="C30" s="26">
        <v>16294</v>
      </c>
      <c r="D30" s="26">
        <v>18825</v>
      </c>
      <c r="E30" s="26">
        <v>18048</v>
      </c>
      <c r="F30" s="26">
        <v>18249</v>
      </c>
      <c r="G30" s="26">
        <v>21932</v>
      </c>
      <c r="H30" s="26">
        <v>20828</v>
      </c>
      <c r="I30" s="26">
        <v>20124</v>
      </c>
      <c r="J30" s="26">
        <v>20668</v>
      </c>
      <c r="K30" s="26">
        <v>22991</v>
      </c>
      <c r="L30" s="26">
        <v>20460</v>
      </c>
      <c r="M30" s="26">
        <v>21891</v>
      </c>
      <c r="N30" s="26">
        <v>23061</v>
      </c>
      <c r="O30" s="26">
        <v>21080</v>
      </c>
      <c r="P30" s="26">
        <v>19426</v>
      </c>
      <c r="Q30" s="26">
        <v>19122</v>
      </c>
      <c r="R30" s="26">
        <v>26705</v>
      </c>
      <c r="S30" s="26">
        <v>29053</v>
      </c>
      <c r="T30" s="26">
        <v>28654</v>
      </c>
      <c r="U30" s="26">
        <v>27702</v>
      </c>
    </row>
    <row r="31" spans="1:21" ht="15" customHeight="1">
      <c r="A31" s="13" t="s">
        <v>79</v>
      </c>
      <c r="B31" s="26">
        <v>11866</v>
      </c>
      <c r="C31" s="26">
        <v>14476</v>
      </c>
      <c r="D31" s="26">
        <v>16811</v>
      </c>
      <c r="E31" s="26">
        <v>16041</v>
      </c>
      <c r="F31" s="26">
        <v>15730</v>
      </c>
      <c r="G31" s="26">
        <v>19511</v>
      </c>
      <c r="H31" s="26">
        <v>17884</v>
      </c>
      <c r="I31" s="26">
        <v>17319</v>
      </c>
      <c r="J31" s="26">
        <v>17480</v>
      </c>
      <c r="K31" s="26">
        <v>19374</v>
      </c>
      <c r="L31" s="26">
        <v>16751</v>
      </c>
      <c r="M31" s="26">
        <v>18086</v>
      </c>
      <c r="N31" s="26">
        <v>18812</v>
      </c>
      <c r="O31" s="26">
        <v>16340</v>
      </c>
      <c r="P31" s="26">
        <v>14879</v>
      </c>
      <c r="Q31" s="26">
        <v>14483</v>
      </c>
      <c r="R31" s="26">
        <v>20485</v>
      </c>
      <c r="S31" s="26">
        <v>22288</v>
      </c>
      <c r="T31" s="26">
        <v>22368</v>
      </c>
      <c r="U31" s="26">
        <v>21750</v>
      </c>
    </row>
    <row r="32" spans="1:21" ht="15" customHeight="1">
      <c r="A32" s="13" t="s">
        <v>80</v>
      </c>
      <c r="B32" s="28">
        <v>1583</v>
      </c>
      <c r="C32" s="28">
        <v>1818</v>
      </c>
      <c r="D32" s="28">
        <v>2014</v>
      </c>
      <c r="E32" s="28">
        <v>2007</v>
      </c>
      <c r="F32" s="28">
        <v>2106</v>
      </c>
      <c r="G32" s="28">
        <v>2421</v>
      </c>
      <c r="H32" s="28">
        <v>2572</v>
      </c>
      <c r="I32" s="28">
        <v>2661</v>
      </c>
      <c r="J32" s="28">
        <v>2609</v>
      </c>
      <c r="K32" s="28">
        <v>3001</v>
      </c>
      <c r="L32" s="28">
        <v>3075</v>
      </c>
      <c r="M32" s="28">
        <v>3163</v>
      </c>
      <c r="N32" s="28">
        <v>3535</v>
      </c>
      <c r="O32" s="28">
        <v>3674</v>
      </c>
      <c r="P32" s="28">
        <v>2889</v>
      </c>
      <c r="Q32" s="28">
        <v>3061</v>
      </c>
      <c r="R32" s="28">
        <v>3807</v>
      </c>
      <c r="S32" s="28">
        <v>4121</v>
      </c>
      <c r="T32" s="28">
        <v>4553</v>
      </c>
      <c r="U32" s="28">
        <v>4280</v>
      </c>
    </row>
    <row r="33" spans="1:21" ht="15" customHeight="1">
      <c r="A33" s="13" t="s">
        <v>81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8">
        <v>689</v>
      </c>
      <c r="Q33" s="28">
        <v>625</v>
      </c>
      <c r="R33" s="28">
        <v>850</v>
      </c>
      <c r="S33" s="28">
        <v>888</v>
      </c>
      <c r="T33" s="26"/>
      <c r="U33" s="26"/>
    </row>
    <row r="34" spans="1:21" ht="15" customHeight="1">
      <c r="A34" s="13" t="s">
        <v>82</v>
      </c>
      <c r="B34" s="26"/>
      <c r="C34" s="26"/>
      <c r="D34" s="26"/>
      <c r="E34" s="26"/>
      <c r="F34" s="28">
        <v>413</v>
      </c>
      <c r="G34" s="26"/>
      <c r="H34" s="28">
        <v>372</v>
      </c>
      <c r="I34" s="28">
        <v>144</v>
      </c>
      <c r="J34" s="28">
        <v>579</v>
      </c>
      <c r="K34" s="28">
        <v>616</v>
      </c>
      <c r="L34" s="28">
        <v>634</v>
      </c>
      <c r="M34" s="28">
        <v>642</v>
      </c>
      <c r="N34" s="28">
        <v>714</v>
      </c>
      <c r="O34" s="28">
        <v>1066</v>
      </c>
      <c r="P34" s="28">
        <v>969</v>
      </c>
      <c r="Q34" s="28">
        <v>953</v>
      </c>
      <c r="R34" s="28">
        <v>1563</v>
      </c>
      <c r="S34" s="28">
        <v>1756</v>
      </c>
      <c r="T34" s="28">
        <v>1733</v>
      </c>
      <c r="U34" s="28">
        <v>1672</v>
      </c>
    </row>
    <row r="35" spans="1:21" ht="15" customHeight="1">
      <c r="A35" s="12" t="s">
        <v>83</v>
      </c>
      <c r="B35" s="16">
        <v>-176</v>
      </c>
      <c r="C35" s="16">
        <v>-207</v>
      </c>
      <c r="D35" s="16">
        <v>-481</v>
      </c>
      <c r="E35" s="28">
        <v>391</v>
      </c>
      <c r="F35" s="28">
        <v>283</v>
      </c>
      <c r="G35" s="28">
        <v>300</v>
      </c>
      <c r="H35" s="28">
        <v>335</v>
      </c>
      <c r="I35" s="29">
        <v>25</v>
      </c>
      <c r="J35" s="29">
        <v>39</v>
      </c>
      <c r="K35" s="29">
        <v>33</v>
      </c>
      <c r="L35" s="17">
        <v>-69</v>
      </c>
      <c r="M35" s="16">
        <v>-3540</v>
      </c>
      <c r="N35" s="16">
        <v>-684</v>
      </c>
      <c r="O35" s="28">
        <v>810</v>
      </c>
      <c r="P35" s="16">
        <v>-1331</v>
      </c>
      <c r="Q35" s="28">
        <v>436</v>
      </c>
      <c r="R35" s="16">
        <v>-2968</v>
      </c>
      <c r="S35" s="16">
        <v>-781</v>
      </c>
      <c r="T35" s="16">
        <v>-865</v>
      </c>
      <c r="U35" s="16">
        <v>-501</v>
      </c>
    </row>
    <row r="36" spans="1:21" ht="15" customHeight="1">
      <c r="A36" s="13" t="s">
        <v>84</v>
      </c>
      <c r="B36" s="28">
        <v>263</v>
      </c>
      <c r="C36" s="28">
        <v>386</v>
      </c>
      <c r="D36" s="28">
        <v>661</v>
      </c>
      <c r="E36" s="29">
        <v>82</v>
      </c>
      <c r="F36" s="28">
        <v>142</v>
      </c>
      <c r="G36" s="28">
        <v>347</v>
      </c>
      <c r="H36" s="28">
        <v>242</v>
      </c>
      <c r="I36" s="28">
        <v>214</v>
      </c>
      <c r="J36" s="28">
        <v>177</v>
      </c>
      <c r="K36" s="28">
        <v>157</v>
      </c>
      <c r="L36" s="28">
        <v>214</v>
      </c>
      <c r="M36" s="26"/>
      <c r="N36" s="28">
        <v>1337</v>
      </c>
      <c r="O36" s="28">
        <v>1084</v>
      </c>
      <c r="P36" s="28">
        <v>208</v>
      </c>
      <c r="Q36" s="28">
        <v>182</v>
      </c>
      <c r="R36" s="28">
        <v>1029</v>
      </c>
      <c r="S36" s="28">
        <v>209</v>
      </c>
      <c r="T36" s="29">
        <v>80</v>
      </c>
      <c r="U36" s="28">
        <v>299</v>
      </c>
    </row>
    <row r="37" spans="1:21" ht="15" customHeight="1">
      <c r="A37" s="13" t="s">
        <v>85</v>
      </c>
      <c r="B37" s="29">
        <v>87</v>
      </c>
      <c r="C37" s="28">
        <v>179</v>
      </c>
      <c r="D37" s="28">
        <v>180</v>
      </c>
      <c r="E37" s="28">
        <v>473</v>
      </c>
      <c r="F37" s="28">
        <v>425</v>
      </c>
      <c r="G37" s="28">
        <v>647</v>
      </c>
      <c r="H37" s="28">
        <v>577</v>
      </c>
      <c r="I37" s="28">
        <v>239</v>
      </c>
      <c r="J37" s="28">
        <v>216</v>
      </c>
      <c r="K37" s="28">
        <v>190</v>
      </c>
      <c r="L37" s="28">
        <v>145</v>
      </c>
      <c r="M37" s="26"/>
      <c r="N37" s="28">
        <v>613</v>
      </c>
      <c r="O37" s="28">
        <v>3320</v>
      </c>
      <c r="P37" s="28">
        <v>1193</v>
      </c>
      <c r="Q37" s="28">
        <v>347</v>
      </c>
      <c r="R37" s="28">
        <v>402</v>
      </c>
      <c r="S37" s="28">
        <v>139</v>
      </c>
      <c r="T37" s="28">
        <v>118</v>
      </c>
      <c r="U37" s="28">
        <v>169</v>
      </c>
    </row>
    <row r="38" spans="1:21" ht="15" customHeight="1">
      <c r="A38" s="13" t="s">
        <v>86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17">
        <v>-40</v>
      </c>
      <c r="O38" s="28">
        <v>1426</v>
      </c>
      <c r="P38" s="28">
        <v>2316</v>
      </c>
      <c r="Q38" s="16">
        <v>-272</v>
      </c>
      <c r="R38" s="28">
        <v>2341</v>
      </c>
      <c r="S38" s="28">
        <v>710</v>
      </c>
      <c r="T38" s="28">
        <v>903</v>
      </c>
      <c r="U38" s="28">
        <v>371</v>
      </c>
    </row>
    <row r="39" spans="1:21" ht="15" customHeight="1">
      <c r="A39" s="13" t="s">
        <v>87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9">
        <v>1</v>
      </c>
      <c r="R39" s="26">
        <v>0</v>
      </c>
      <c r="S39" s="29">
        <v>1</v>
      </c>
      <c r="T39" s="26"/>
      <c r="U39" s="26"/>
    </row>
    <row r="40" spans="1:21" ht="15" customHeight="1">
      <c r="A40" s="12" t="s">
        <v>88</v>
      </c>
      <c r="B40" s="26">
        <v>60357</v>
      </c>
      <c r="C40" s="26">
        <v>72063</v>
      </c>
      <c r="D40" s="26">
        <v>79906</v>
      </c>
      <c r="E40" s="26">
        <v>73310</v>
      </c>
      <c r="F40" s="26">
        <v>71663</v>
      </c>
      <c r="G40" s="26">
        <v>83936</v>
      </c>
      <c r="H40" s="26">
        <v>84989</v>
      </c>
      <c r="I40" s="26">
        <v>78333</v>
      </c>
      <c r="J40" s="26">
        <v>71949</v>
      </c>
      <c r="K40" s="26">
        <v>78208</v>
      </c>
      <c r="L40" s="26">
        <v>70260</v>
      </c>
      <c r="M40" s="26">
        <v>72577</v>
      </c>
      <c r="N40" s="26">
        <v>81527</v>
      </c>
      <c r="O40" s="26">
        <v>83230</v>
      </c>
      <c r="P40" s="26">
        <v>72273</v>
      </c>
      <c r="Q40" s="26">
        <v>68585</v>
      </c>
      <c r="R40" s="26">
        <v>90681</v>
      </c>
      <c r="S40" s="26">
        <v>102605</v>
      </c>
      <c r="T40" s="26">
        <v>100423</v>
      </c>
      <c r="U40" s="26">
        <v>98678</v>
      </c>
    </row>
    <row r="41" spans="1:21" ht="15" customHeight="1">
      <c r="A41" s="10" t="s">
        <v>89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5" customHeight="1">
      <c r="A42" s="14" t="s">
        <v>90</v>
      </c>
      <c r="B42" s="27">
        <v>11932</v>
      </c>
      <c r="C42" s="27">
        <v>14275</v>
      </c>
      <c r="D42" s="27">
        <v>12748</v>
      </c>
      <c r="E42" s="18">
        <v>-1373</v>
      </c>
      <c r="F42" s="27">
        <v>10991</v>
      </c>
      <c r="G42" s="27">
        <v>10148</v>
      </c>
      <c r="H42" s="27">
        <v>13540</v>
      </c>
      <c r="I42" s="30">
        <v>8995</v>
      </c>
      <c r="J42" s="27">
        <v>10584</v>
      </c>
      <c r="K42" s="30">
        <v>7637</v>
      </c>
      <c r="L42" s="27">
        <v>11293</v>
      </c>
      <c r="M42" s="27">
        <v>18250</v>
      </c>
      <c r="N42" s="27">
        <v>18545</v>
      </c>
      <c r="O42" s="27">
        <v>20008</v>
      </c>
      <c r="P42" s="27">
        <v>14131</v>
      </c>
      <c r="Q42" s="27">
        <v>17115</v>
      </c>
      <c r="R42" s="27">
        <v>21651</v>
      </c>
      <c r="S42" s="27">
        <v>23898</v>
      </c>
      <c r="T42" s="27">
        <v>22455</v>
      </c>
      <c r="U42" s="27">
        <v>22002</v>
      </c>
    </row>
    <row r="43" spans="1:21" ht="15" customHeight="1">
      <c r="A43" s="10" t="s">
        <v>91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5" customHeight="1">
      <c r="A44" s="12" t="s">
        <v>92</v>
      </c>
      <c r="B44" s="16">
        <v>-2885</v>
      </c>
      <c r="C44" s="16">
        <v>-2777</v>
      </c>
      <c r="D44" s="16">
        <v>-4182</v>
      </c>
      <c r="E44" s="16">
        <v>-4052</v>
      </c>
      <c r="F44" s="16">
        <v>-3321</v>
      </c>
      <c r="G44" s="16">
        <v>-1818</v>
      </c>
      <c r="H44" s="16">
        <v>-1993</v>
      </c>
      <c r="I44" s="16">
        <v>-1534</v>
      </c>
      <c r="J44" s="16">
        <v>-2077</v>
      </c>
      <c r="K44" s="16">
        <v>-1920</v>
      </c>
      <c r="L44" s="16">
        <v>-1499</v>
      </c>
      <c r="M44" s="16">
        <v>-1306</v>
      </c>
      <c r="N44" s="16">
        <v>-824</v>
      </c>
      <c r="O44" s="16">
        <v>-1881</v>
      </c>
      <c r="P44" s="16">
        <v>-395</v>
      </c>
      <c r="Q44" s="16">
        <v>-452</v>
      </c>
      <c r="R44" s="16">
        <v>-1670</v>
      </c>
      <c r="S44" s="16">
        <v>-3013</v>
      </c>
      <c r="T44" s="16">
        <v>-2106</v>
      </c>
      <c r="U44" s="16">
        <v>-1340</v>
      </c>
    </row>
    <row r="45" spans="1:21" ht="15" customHeight="1">
      <c r="A45" s="13" t="s">
        <v>93</v>
      </c>
      <c r="B45" s="28">
        <v>900</v>
      </c>
      <c r="C45" s="28">
        <v>1344</v>
      </c>
      <c r="D45" s="28">
        <v>1904</v>
      </c>
      <c r="E45" s="28">
        <v>1955</v>
      </c>
      <c r="F45" s="28">
        <v>1736</v>
      </c>
      <c r="G45" s="28">
        <v>1780</v>
      </c>
      <c r="H45" s="28">
        <v>1979</v>
      </c>
      <c r="I45" s="28">
        <v>1824</v>
      </c>
      <c r="J45" s="28">
        <v>1806</v>
      </c>
      <c r="K45" s="28">
        <v>1750</v>
      </c>
      <c r="L45" s="28">
        <v>1511</v>
      </c>
      <c r="M45" s="28">
        <v>1170</v>
      </c>
      <c r="N45" s="28">
        <v>808</v>
      </c>
      <c r="O45" s="28">
        <v>1049</v>
      </c>
      <c r="P45" s="28">
        <v>666</v>
      </c>
      <c r="Q45" s="28">
        <v>494</v>
      </c>
      <c r="R45" s="28">
        <v>1197</v>
      </c>
      <c r="S45" s="28">
        <v>2019</v>
      </c>
      <c r="T45" s="28">
        <v>1929</v>
      </c>
      <c r="U45" s="28">
        <v>1247</v>
      </c>
    </row>
    <row r="46" spans="1:21" ht="15" customHeight="1">
      <c r="A46" s="15" t="s">
        <v>94</v>
      </c>
      <c r="B46" s="28">
        <v>143</v>
      </c>
      <c r="C46" s="28">
        <v>197</v>
      </c>
      <c r="D46" s="28">
        <v>352</v>
      </c>
      <c r="E46" s="28">
        <v>249</v>
      </c>
      <c r="F46" s="28">
        <v>189</v>
      </c>
      <c r="G46" s="28">
        <v>191</v>
      </c>
      <c r="H46" s="28">
        <v>236</v>
      </c>
      <c r="I46" s="28">
        <v>191</v>
      </c>
      <c r="J46" s="28">
        <v>129</v>
      </c>
      <c r="K46" s="28">
        <v>130</v>
      </c>
      <c r="L46" s="28">
        <v>159</v>
      </c>
      <c r="M46" s="28">
        <v>207</v>
      </c>
      <c r="N46" s="28">
        <v>281</v>
      </c>
      <c r="O46" s="28">
        <v>356</v>
      </c>
      <c r="P46" s="28">
        <v>335</v>
      </c>
      <c r="Q46" s="28">
        <v>345</v>
      </c>
      <c r="R46" s="28">
        <v>443</v>
      </c>
      <c r="S46" s="28">
        <v>603</v>
      </c>
      <c r="T46" s="28">
        <v>622</v>
      </c>
      <c r="U46" s="28">
        <v>577</v>
      </c>
    </row>
    <row r="47" spans="1:21" ht="15" customHeight="1">
      <c r="A47" s="15" t="s">
        <v>95</v>
      </c>
      <c r="B47" s="28">
        <v>1043</v>
      </c>
      <c r="C47" s="28">
        <v>1541</v>
      </c>
      <c r="D47" s="28">
        <v>2256</v>
      </c>
      <c r="E47" s="28">
        <v>2204</v>
      </c>
      <c r="F47" s="28">
        <v>1925</v>
      </c>
      <c r="G47" s="28">
        <v>1971</v>
      </c>
      <c r="H47" s="28">
        <v>2215</v>
      </c>
      <c r="I47" s="28">
        <v>2015</v>
      </c>
      <c r="J47" s="28">
        <v>1935</v>
      </c>
      <c r="K47" s="28">
        <v>1880</v>
      </c>
      <c r="L47" s="28">
        <v>1670</v>
      </c>
      <c r="M47" s="28">
        <v>1377</v>
      </c>
      <c r="N47" s="28">
        <v>1089</v>
      </c>
      <c r="O47" s="28">
        <v>1405</v>
      </c>
      <c r="P47" s="28">
        <v>1001</v>
      </c>
      <c r="Q47" s="28">
        <v>839</v>
      </c>
      <c r="R47" s="28">
        <v>1640</v>
      </c>
      <c r="S47" s="28">
        <v>2622</v>
      </c>
      <c r="T47" s="28">
        <v>2551</v>
      </c>
      <c r="U47" s="28">
        <v>1824</v>
      </c>
    </row>
    <row r="48" spans="1:21" ht="15" customHeight="1">
      <c r="A48" s="13" t="s">
        <v>96</v>
      </c>
      <c r="B48" s="16">
        <v>-1985</v>
      </c>
      <c r="C48" s="16">
        <v>-1433</v>
      </c>
      <c r="D48" s="16">
        <v>-2278</v>
      </c>
      <c r="E48" s="16">
        <v>-2097</v>
      </c>
      <c r="F48" s="16">
        <v>-1585</v>
      </c>
      <c r="G48" s="17">
        <v>-38</v>
      </c>
      <c r="H48" s="17">
        <v>-14</v>
      </c>
      <c r="I48" s="28">
        <v>290</v>
      </c>
      <c r="J48" s="16">
        <v>-271</v>
      </c>
      <c r="K48" s="16">
        <v>-170</v>
      </c>
      <c r="L48" s="29">
        <v>12</v>
      </c>
      <c r="M48" s="16">
        <v>-136</v>
      </c>
      <c r="N48" s="17">
        <v>-16</v>
      </c>
      <c r="O48" s="16">
        <v>-832</v>
      </c>
      <c r="P48" s="28">
        <v>271</v>
      </c>
      <c r="Q48" s="29">
        <v>42</v>
      </c>
      <c r="R48" s="16">
        <v>-473</v>
      </c>
      <c r="S48" s="16">
        <v>-994</v>
      </c>
      <c r="T48" s="16">
        <v>-177</v>
      </c>
      <c r="U48" s="17">
        <v>-93</v>
      </c>
    </row>
    <row r="49" spans="1:21" ht="15" customHeight="1">
      <c r="A49" s="15" t="s">
        <v>97</v>
      </c>
      <c r="B49" s="29">
        <v>1</v>
      </c>
      <c r="C49" s="29">
        <v>1</v>
      </c>
      <c r="D49" s="29">
        <v>3</v>
      </c>
      <c r="E49" s="29">
        <v>10</v>
      </c>
      <c r="F49" s="29">
        <v>6</v>
      </c>
      <c r="G49" s="26"/>
      <c r="H49" s="29">
        <v>8</v>
      </c>
      <c r="I49" s="29">
        <v>7</v>
      </c>
      <c r="J49" s="29">
        <v>3</v>
      </c>
      <c r="K49" s="29">
        <v>9</v>
      </c>
      <c r="L49" s="29">
        <v>5</v>
      </c>
      <c r="M49" s="29">
        <v>25</v>
      </c>
      <c r="N49" s="29">
        <v>15</v>
      </c>
      <c r="O49" s="29">
        <v>20</v>
      </c>
      <c r="P49" s="29">
        <v>5</v>
      </c>
      <c r="Q49" s="29">
        <v>2</v>
      </c>
      <c r="R49" s="29">
        <v>2</v>
      </c>
      <c r="S49" s="29">
        <v>14</v>
      </c>
      <c r="T49" s="29">
        <v>3</v>
      </c>
      <c r="U49" s="29">
        <v>3</v>
      </c>
    </row>
    <row r="50" spans="1:21" ht="15" customHeight="1">
      <c r="A50" s="15" t="s">
        <v>98</v>
      </c>
      <c r="B50" s="29">
        <v>17</v>
      </c>
      <c r="C50" s="17">
        <v>-34</v>
      </c>
      <c r="D50" s="17">
        <v>-54</v>
      </c>
      <c r="E50" s="17">
        <v>-25</v>
      </c>
      <c r="F50" s="26">
        <v>0</v>
      </c>
      <c r="G50" s="17">
        <v>-28</v>
      </c>
      <c r="H50" s="17">
        <v>-5</v>
      </c>
      <c r="I50" s="28">
        <v>308</v>
      </c>
      <c r="J50" s="16">
        <v>-239</v>
      </c>
      <c r="K50" s="16">
        <v>-136</v>
      </c>
      <c r="L50" s="29">
        <v>32</v>
      </c>
      <c r="M50" s="16">
        <v>-141</v>
      </c>
      <c r="N50" s="17">
        <v>-6</v>
      </c>
      <c r="O50" s="16">
        <v>-804</v>
      </c>
      <c r="P50" s="16">
        <v>-269</v>
      </c>
      <c r="Q50" s="17">
        <v>-81</v>
      </c>
      <c r="R50" s="16">
        <v>-452</v>
      </c>
      <c r="S50" s="16">
        <v>-999</v>
      </c>
      <c r="T50" s="16">
        <v>-154</v>
      </c>
      <c r="U50" s="17">
        <v>-66</v>
      </c>
    </row>
    <row r="51" spans="1:21" ht="15" customHeight="1">
      <c r="A51" s="15" t="s">
        <v>99</v>
      </c>
      <c r="B51" s="17">
        <v>-84</v>
      </c>
      <c r="C51" s="26"/>
      <c r="D51" s="26"/>
      <c r="E51" s="26"/>
      <c r="F51" s="29">
        <v>27</v>
      </c>
      <c r="G51" s="26">
        <v>0</v>
      </c>
      <c r="H51" s="26"/>
      <c r="I51" s="26"/>
      <c r="J51" s="26"/>
      <c r="K51" s="26"/>
      <c r="L51" s="26"/>
      <c r="M51" s="26"/>
      <c r="N51" s="26"/>
      <c r="O51" s="26"/>
      <c r="P51" s="28">
        <v>599</v>
      </c>
      <c r="Q51" s="28">
        <v>174</v>
      </c>
      <c r="R51" s="29">
        <v>3</v>
      </c>
      <c r="S51" s="29">
        <v>10</v>
      </c>
      <c r="T51" s="29">
        <v>1</v>
      </c>
      <c r="U51" s="26">
        <v>0</v>
      </c>
    </row>
    <row r="52" spans="1:21" ht="15" customHeight="1">
      <c r="A52" s="15" t="s">
        <v>100</v>
      </c>
      <c r="B52" s="16">
        <v>-1919</v>
      </c>
      <c r="C52" s="16">
        <v>-1400</v>
      </c>
      <c r="D52" s="16">
        <v>-2227</v>
      </c>
      <c r="E52" s="16">
        <v>-2082</v>
      </c>
      <c r="F52" s="16">
        <v>-1618</v>
      </c>
      <c r="G52" s="17">
        <v>-10</v>
      </c>
      <c r="H52" s="17">
        <v>-17</v>
      </c>
      <c r="I52" s="17">
        <v>-25</v>
      </c>
      <c r="J52" s="17">
        <v>-35</v>
      </c>
      <c r="K52" s="17">
        <v>-43</v>
      </c>
      <c r="L52" s="17">
        <v>-25</v>
      </c>
      <c r="M52" s="17">
        <v>-20</v>
      </c>
      <c r="N52" s="17">
        <v>-25</v>
      </c>
      <c r="O52" s="17">
        <v>-48</v>
      </c>
      <c r="P52" s="17">
        <v>-64</v>
      </c>
      <c r="Q52" s="17">
        <v>-53</v>
      </c>
      <c r="R52" s="17">
        <v>-26</v>
      </c>
      <c r="S52" s="17">
        <v>-19</v>
      </c>
      <c r="T52" s="17">
        <v>-27</v>
      </c>
      <c r="U52" s="17">
        <v>-30</v>
      </c>
    </row>
    <row r="53" spans="1:21" ht="15" customHeight="1">
      <c r="A53" s="12" t="s">
        <v>101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8">
        <v>223</v>
      </c>
      <c r="R53" s="28">
        <v>291</v>
      </c>
      <c r="S53" s="28">
        <v>159</v>
      </c>
      <c r="T53" s="17">
        <v>-6</v>
      </c>
      <c r="U53" s="28">
        <v>281</v>
      </c>
    </row>
    <row r="54" spans="1:21" ht="15" customHeight="1">
      <c r="A54" s="13" t="s">
        <v>102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17">
        <v>-1</v>
      </c>
      <c r="R54" s="26">
        <v>0</v>
      </c>
      <c r="S54" s="17">
        <v>-1</v>
      </c>
      <c r="T54" s="26"/>
      <c r="U54" s="26"/>
    </row>
    <row r="55" spans="1:21" ht="15" customHeight="1">
      <c r="A55" s="12" t="s">
        <v>103</v>
      </c>
      <c r="B55" s="28">
        <v>136</v>
      </c>
      <c r="C55" s="28">
        <v>117</v>
      </c>
      <c r="D55" s="29">
        <v>46</v>
      </c>
      <c r="E55" s="17">
        <v>-39</v>
      </c>
      <c r="F55" s="29">
        <v>38</v>
      </c>
      <c r="G55" s="26"/>
      <c r="H55" s="29">
        <v>6</v>
      </c>
      <c r="I55" s="29">
        <v>1</v>
      </c>
      <c r="J55" s="29">
        <v>24</v>
      </c>
      <c r="K55" s="29">
        <v>8</v>
      </c>
      <c r="L55" s="29">
        <v>16</v>
      </c>
      <c r="M55" s="26"/>
      <c r="N55" s="29">
        <v>45</v>
      </c>
      <c r="O55" s="29">
        <v>9</v>
      </c>
      <c r="P55" s="29">
        <v>6</v>
      </c>
      <c r="Q55" s="17">
        <v>-4</v>
      </c>
      <c r="R55" s="29">
        <v>6</v>
      </c>
      <c r="S55" s="29">
        <v>16</v>
      </c>
      <c r="T55" s="16">
        <v>-208</v>
      </c>
      <c r="U55" s="29">
        <v>23</v>
      </c>
    </row>
    <row r="56" spans="1:21" ht="15" customHeight="1">
      <c r="A56" s="12" t="s">
        <v>104</v>
      </c>
      <c r="B56" s="29">
        <v>20</v>
      </c>
      <c r="C56" s="26"/>
      <c r="D56" s="28">
        <v>725</v>
      </c>
      <c r="E56" s="28">
        <v>1805</v>
      </c>
      <c r="F56" s="28">
        <v>500</v>
      </c>
      <c r="G56" s="28">
        <v>2371</v>
      </c>
      <c r="H56" s="26"/>
      <c r="I56" s="16">
        <v>-2140</v>
      </c>
      <c r="J56" s="29">
        <v>20</v>
      </c>
      <c r="K56" s="29">
        <v>1</v>
      </c>
      <c r="L56" s="17">
        <v>-6</v>
      </c>
      <c r="M56" s="26"/>
      <c r="N56" s="26"/>
      <c r="O56" s="29">
        <v>1</v>
      </c>
      <c r="P56" s="26"/>
      <c r="Q56" s="26"/>
      <c r="R56" s="26"/>
      <c r="S56" s="17">
        <v>-1</v>
      </c>
      <c r="T56" s="26"/>
      <c r="U56" s="26"/>
    </row>
    <row r="57" spans="1:21" ht="15" customHeight="1">
      <c r="A57" s="13" t="s">
        <v>105</v>
      </c>
      <c r="B57" s="26"/>
      <c r="C57" s="26"/>
      <c r="D57" s="28">
        <v>725</v>
      </c>
      <c r="E57" s="28">
        <v>1805</v>
      </c>
      <c r="F57" s="28">
        <v>462</v>
      </c>
      <c r="G57" s="28">
        <v>2371</v>
      </c>
      <c r="H57" s="26"/>
      <c r="I57" s="16">
        <v>-2140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</row>
    <row r="58" spans="1:21" ht="15" customHeight="1">
      <c r="A58" s="12" t="s">
        <v>106</v>
      </c>
      <c r="B58" s="28">
        <v>9203</v>
      </c>
      <c r="C58" s="26">
        <v>11615</v>
      </c>
      <c r="D58" s="28">
        <v>9337</v>
      </c>
      <c r="E58" s="16">
        <v>-3659</v>
      </c>
      <c r="F58" s="28">
        <v>8208</v>
      </c>
      <c r="G58" s="26">
        <v>10701</v>
      </c>
      <c r="H58" s="26">
        <v>11553</v>
      </c>
      <c r="I58" s="28">
        <v>5322</v>
      </c>
      <c r="J58" s="28">
        <v>8551</v>
      </c>
      <c r="K58" s="28">
        <v>5726</v>
      </c>
      <c r="L58" s="28">
        <v>9804</v>
      </c>
      <c r="M58" s="26">
        <v>16944</v>
      </c>
      <c r="N58" s="26">
        <v>17766</v>
      </c>
      <c r="O58" s="26">
        <v>18137</v>
      </c>
      <c r="P58" s="26">
        <v>13742</v>
      </c>
      <c r="Q58" s="26">
        <v>16882</v>
      </c>
      <c r="R58" s="26">
        <v>20278</v>
      </c>
      <c r="S58" s="26">
        <v>21059</v>
      </c>
      <c r="T58" s="26">
        <v>20135</v>
      </c>
      <c r="U58" s="26">
        <v>20966</v>
      </c>
    </row>
    <row r="59" spans="1:21" ht="15" customHeight="1">
      <c r="A59" s="10" t="s">
        <v>107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5" customHeight="1">
      <c r="A60" s="12" t="s">
        <v>108</v>
      </c>
      <c r="B60" s="26"/>
      <c r="C60" s="17">
        <v>-17</v>
      </c>
      <c r="D60" s="16">
        <v>-977</v>
      </c>
      <c r="E60" s="16">
        <v>-1873</v>
      </c>
      <c r="F60" s="16">
        <v>-375</v>
      </c>
      <c r="G60" s="16">
        <v>-2522</v>
      </c>
      <c r="H60" s="17">
        <v>-37</v>
      </c>
      <c r="I60" s="28">
        <v>1431</v>
      </c>
      <c r="J60" s="16">
        <v>-182</v>
      </c>
      <c r="K60" s="16">
        <v>-418</v>
      </c>
      <c r="L60" s="16">
        <v>-438</v>
      </c>
      <c r="M60" s="29">
        <v>48</v>
      </c>
      <c r="N60" s="29">
        <v>94</v>
      </c>
      <c r="O60" s="16">
        <v>-5987</v>
      </c>
      <c r="P60" s="16">
        <v>-2472</v>
      </c>
      <c r="Q60" s="17">
        <v>-64</v>
      </c>
      <c r="R60" s="16">
        <v>-2540</v>
      </c>
      <c r="S60" s="16">
        <v>-1265</v>
      </c>
      <c r="T60" s="16">
        <v>-3674</v>
      </c>
      <c r="U60" s="16">
        <v>-1508</v>
      </c>
    </row>
    <row r="61" spans="1:21" ht="15" customHeight="1">
      <c r="A61" s="13" t="s">
        <v>109</v>
      </c>
      <c r="B61" s="26"/>
      <c r="C61" s="26"/>
      <c r="D61" s="28">
        <v>688</v>
      </c>
      <c r="E61" s="28">
        <v>713</v>
      </c>
      <c r="F61" s="28">
        <v>406</v>
      </c>
      <c r="G61" s="28">
        <v>416</v>
      </c>
      <c r="H61" s="29">
        <v>56</v>
      </c>
      <c r="I61" s="28">
        <v>675</v>
      </c>
      <c r="J61" s="28">
        <v>150</v>
      </c>
      <c r="K61" s="28">
        <v>260</v>
      </c>
      <c r="L61" s="28">
        <v>335</v>
      </c>
      <c r="M61" s="29">
        <v>45</v>
      </c>
      <c r="N61" s="17">
        <v>-25</v>
      </c>
      <c r="O61" s="28">
        <v>4505</v>
      </c>
      <c r="P61" s="28">
        <v>510</v>
      </c>
      <c r="Q61" s="29">
        <v>26</v>
      </c>
      <c r="R61" s="28">
        <v>226</v>
      </c>
      <c r="S61" s="28">
        <v>312</v>
      </c>
      <c r="T61" s="28">
        <v>408</v>
      </c>
      <c r="U61" s="29">
        <v>66</v>
      </c>
    </row>
    <row r="62" spans="1:21" ht="15" customHeight="1">
      <c r="A62" s="15" t="s">
        <v>110</v>
      </c>
      <c r="B62" s="26"/>
      <c r="C62" s="26"/>
      <c r="D62" s="28">
        <v>688</v>
      </c>
      <c r="E62" s="28">
        <v>713</v>
      </c>
      <c r="F62" s="28">
        <v>406</v>
      </c>
      <c r="G62" s="28">
        <v>416</v>
      </c>
      <c r="H62" s="29">
        <v>56</v>
      </c>
      <c r="I62" s="28">
        <v>675</v>
      </c>
      <c r="J62" s="28">
        <v>150</v>
      </c>
      <c r="K62" s="28">
        <v>260</v>
      </c>
      <c r="L62" s="28">
        <v>335</v>
      </c>
      <c r="M62" s="29">
        <v>45</v>
      </c>
      <c r="N62" s="17">
        <v>-64</v>
      </c>
      <c r="O62" s="28">
        <v>306</v>
      </c>
      <c r="P62" s="28">
        <v>113</v>
      </c>
      <c r="Q62" s="17">
        <v>-30</v>
      </c>
      <c r="R62" s="28">
        <v>108</v>
      </c>
      <c r="S62" s="28">
        <v>121</v>
      </c>
      <c r="T62" s="28">
        <v>258</v>
      </c>
      <c r="U62" s="29">
        <v>57</v>
      </c>
    </row>
    <row r="63" spans="1:21" ht="15" customHeight="1">
      <c r="A63" s="15" t="s">
        <v>111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8">
        <v>304</v>
      </c>
      <c r="Q63" s="26">
        <v>0</v>
      </c>
      <c r="R63" s="29">
        <v>88</v>
      </c>
      <c r="S63" s="29">
        <v>83</v>
      </c>
      <c r="T63" s="26"/>
      <c r="U63" s="26"/>
    </row>
    <row r="64" spans="1:21" ht="15" customHeight="1">
      <c r="A64" s="15" t="s">
        <v>112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9">
        <v>39</v>
      </c>
      <c r="O64" s="28">
        <v>4199</v>
      </c>
      <c r="P64" s="29">
        <v>93</v>
      </c>
      <c r="Q64" s="29">
        <v>56</v>
      </c>
      <c r="R64" s="29">
        <v>30</v>
      </c>
      <c r="S64" s="28">
        <v>108</v>
      </c>
      <c r="T64" s="28">
        <v>150</v>
      </c>
      <c r="U64" s="29">
        <v>9</v>
      </c>
    </row>
    <row r="65" spans="1:21" ht="15" customHeight="1">
      <c r="A65" s="13" t="s">
        <v>113</v>
      </c>
      <c r="B65" s="26"/>
      <c r="C65" s="26"/>
      <c r="D65" s="29">
        <v>37</v>
      </c>
      <c r="E65" s="28">
        <v>492</v>
      </c>
      <c r="F65" s="29">
        <v>56</v>
      </c>
      <c r="G65" s="28">
        <v>1955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1:21" ht="15" customHeight="1">
      <c r="A66" s="13" t="s">
        <v>114</v>
      </c>
      <c r="B66" s="26"/>
      <c r="C66" s="26"/>
      <c r="D66" s="26"/>
      <c r="E66" s="28">
        <v>600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</row>
    <row r="67" spans="1:21" ht="15" customHeight="1">
      <c r="A67" s="13" t="s">
        <v>115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16">
        <v>-100</v>
      </c>
      <c r="P67" s="26"/>
      <c r="Q67" s="26"/>
      <c r="R67" s="26"/>
      <c r="S67" s="26"/>
      <c r="T67" s="26"/>
      <c r="U67" s="26"/>
    </row>
    <row r="68" spans="1:21" ht="15" customHeight="1">
      <c r="A68" s="13" t="s">
        <v>116</v>
      </c>
      <c r="B68" s="26"/>
      <c r="C68" s="17">
        <v>-17</v>
      </c>
      <c r="D68" s="16">
        <v>-252</v>
      </c>
      <c r="E68" s="17">
        <v>-68</v>
      </c>
      <c r="F68" s="29">
        <v>87</v>
      </c>
      <c r="G68" s="16">
        <v>-151</v>
      </c>
      <c r="H68" s="29">
        <v>19</v>
      </c>
      <c r="I68" s="17">
        <v>-34</v>
      </c>
      <c r="J68" s="17">
        <v>-32</v>
      </c>
      <c r="K68" s="16">
        <v>-158</v>
      </c>
      <c r="L68" s="16">
        <v>-103</v>
      </c>
      <c r="M68" s="29">
        <v>93</v>
      </c>
      <c r="N68" s="29">
        <v>29</v>
      </c>
      <c r="O68" s="16">
        <v>-156</v>
      </c>
      <c r="P68" s="28">
        <v>354</v>
      </c>
      <c r="Q68" s="17">
        <v>-85</v>
      </c>
      <c r="R68" s="28">
        <v>365</v>
      </c>
      <c r="S68" s="16">
        <v>-399</v>
      </c>
      <c r="T68" s="29">
        <v>73</v>
      </c>
      <c r="U68" s="17">
        <v>-11</v>
      </c>
    </row>
    <row r="69" spans="1:21" ht="15" customHeight="1">
      <c r="A69" s="13" t="s">
        <v>117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9">
        <v>69</v>
      </c>
      <c r="T69" s="16">
        <v>-119</v>
      </c>
      <c r="U69" s="16">
        <v>-362</v>
      </c>
    </row>
    <row r="70" spans="1:21" ht="15" customHeight="1">
      <c r="A70" s="13" t="s">
        <v>118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16">
        <v>-225</v>
      </c>
      <c r="R70" s="16">
        <v>-338</v>
      </c>
      <c r="S70" s="29">
        <v>87</v>
      </c>
      <c r="T70" s="16">
        <v>-398</v>
      </c>
      <c r="U70" s="16">
        <v>-112</v>
      </c>
    </row>
    <row r="71" spans="1:21" ht="15" customHeight="1">
      <c r="A71" s="13" t="s">
        <v>119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16">
        <v>-495</v>
      </c>
      <c r="U71" s="16">
        <v>-305</v>
      </c>
    </row>
    <row r="72" spans="1:21" ht="15" customHeight="1">
      <c r="A72" s="13" t="s">
        <v>120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8">
        <v>521</v>
      </c>
      <c r="Q72" s="26"/>
      <c r="R72" s="26"/>
      <c r="S72" s="26"/>
      <c r="T72" s="26"/>
      <c r="U72" s="26"/>
    </row>
    <row r="73" spans="1:21" ht="15" customHeight="1">
      <c r="A73" s="15" t="s">
        <v>121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8">
        <v>521</v>
      </c>
      <c r="Q73" s="26"/>
      <c r="R73" s="26"/>
      <c r="S73" s="26"/>
      <c r="T73" s="26"/>
      <c r="U73" s="26"/>
    </row>
    <row r="74" spans="1:21" ht="15" customHeight="1">
      <c r="A74" s="13" t="s">
        <v>122</v>
      </c>
      <c r="B74" s="26"/>
      <c r="C74" s="26"/>
      <c r="D74" s="26"/>
      <c r="E74" s="26"/>
      <c r="F74" s="26"/>
      <c r="G74" s="26"/>
      <c r="H74" s="26"/>
      <c r="I74" s="28">
        <v>2140</v>
      </c>
      <c r="J74" s="26"/>
      <c r="K74" s="26"/>
      <c r="L74" s="26"/>
      <c r="M74" s="26"/>
      <c r="N74" s="29">
        <v>40</v>
      </c>
      <c r="O74" s="16">
        <v>-1426</v>
      </c>
      <c r="P74" s="16">
        <v>-2837</v>
      </c>
      <c r="Q74" s="28">
        <v>272</v>
      </c>
      <c r="R74" s="16">
        <v>-2341</v>
      </c>
      <c r="S74" s="16">
        <v>-710</v>
      </c>
      <c r="T74" s="16">
        <v>-2327</v>
      </c>
      <c r="U74" s="16">
        <v>-652</v>
      </c>
    </row>
    <row r="75" spans="1:21" ht="15" customHeight="1">
      <c r="A75" s="10" t="s">
        <v>123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5" customHeight="1">
      <c r="A76" s="14" t="s">
        <v>124</v>
      </c>
      <c r="B76" s="27">
        <v>11113</v>
      </c>
      <c r="C76" s="27">
        <v>12995</v>
      </c>
      <c r="D76" s="27">
        <v>10577</v>
      </c>
      <c r="E76" s="18">
        <v>-3472</v>
      </c>
      <c r="F76" s="30">
        <v>9412</v>
      </c>
      <c r="G76" s="30">
        <v>8179</v>
      </c>
      <c r="H76" s="27">
        <v>11516</v>
      </c>
      <c r="I76" s="30">
        <v>6753</v>
      </c>
      <c r="J76" s="30">
        <v>8369</v>
      </c>
      <c r="K76" s="30">
        <v>5308</v>
      </c>
      <c r="L76" s="30">
        <v>9366</v>
      </c>
      <c r="M76" s="27">
        <v>16992</v>
      </c>
      <c r="N76" s="27">
        <v>17860</v>
      </c>
      <c r="O76" s="27">
        <v>12150</v>
      </c>
      <c r="P76" s="27">
        <v>11270</v>
      </c>
      <c r="Q76" s="27">
        <v>16818</v>
      </c>
      <c r="R76" s="27">
        <v>17738</v>
      </c>
      <c r="S76" s="27">
        <v>19794</v>
      </c>
      <c r="T76" s="27">
        <v>16461</v>
      </c>
      <c r="U76" s="27">
        <v>19458</v>
      </c>
    </row>
    <row r="77" spans="1:21" ht="15" customHeight="1">
      <c r="A77" s="10" t="s">
        <v>125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5" customHeight="1">
      <c r="A78" s="12" t="s">
        <v>126</v>
      </c>
      <c r="B78" s="28">
        <v>6157</v>
      </c>
      <c r="C78" s="28">
        <v>7569</v>
      </c>
      <c r="D78" s="28">
        <v>5617</v>
      </c>
      <c r="E78" s="29">
        <v>9</v>
      </c>
      <c r="F78" s="28">
        <v>4860</v>
      </c>
      <c r="G78" s="28">
        <v>2318</v>
      </c>
      <c r="H78" s="28">
        <v>3409</v>
      </c>
      <c r="I78" s="28">
        <v>1745</v>
      </c>
      <c r="J78" s="28">
        <v>2272</v>
      </c>
      <c r="K78" s="28">
        <v>1865</v>
      </c>
      <c r="L78" s="28">
        <v>2528</v>
      </c>
      <c r="M78" s="28">
        <v>3780</v>
      </c>
      <c r="N78" s="28">
        <v>4645</v>
      </c>
      <c r="O78" s="28">
        <v>3421</v>
      </c>
      <c r="P78" s="28">
        <v>2517</v>
      </c>
      <c r="Q78" s="28">
        <v>3731</v>
      </c>
      <c r="R78" s="28">
        <v>4884</v>
      </c>
      <c r="S78" s="28">
        <v>4493</v>
      </c>
      <c r="T78" s="28">
        <v>4216</v>
      </c>
      <c r="U78" s="28">
        <v>4767</v>
      </c>
    </row>
    <row r="79" spans="1:21" ht="15" customHeight="1">
      <c r="A79" s="13" t="s">
        <v>127</v>
      </c>
      <c r="B79" s="28">
        <v>6302</v>
      </c>
      <c r="C79" s="28">
        <v>8332</v>
      </c>
      <c r="D79" s="28">
        <v>5752</v>
      </c>
      <c r="E79" s="28">
        <v>1770</v>
      </c>
      <c r="F79" s="28">
        <v>4782</v>
      </c>
      <c r="G79" s="28">
        <v>3173</v>
      </c>
      <c r="H79" s="28">
        <v>3180</v>
      </c>
      <c r="I79" s="28">
        <v>3937</v>
      </c>
      <c r="J79" s="28">
        <v>1797</v>
      </c>
      <c r="K79" s="28">
        <v>1850</v>
      </c>
      <c r="L79" s="28">
        <v>2027</v>
      </c>
      <c r="M79" s="28">
        <v>3093</v>
      </c>
      <c r="N79" s="28">
        <v>2941</v>
      </c>
      <c r="O79" s="28">
        <v>4017</v>
      </c>
      <c r="P79" s="28">
        <v>3183</v>
      </c>
      <c r="Q79" s="28">
        <v>3586</v>
      </c>
      <c r="R79" s="28">
        <v>5259</v>
      </c>
      <c r="S79" s="28">
        <v>4871</v>
      </c>
      <c r="T79" s="28">
        <v>4871</v>
      </c>
      <c r="U79" s="28">
        <v>4947</v>
      </c>
    </row>
    <row r="80" spans="1:21" ht="15" customHeight="1">
      <c r="A80" s="15" t="s">
        <v>128</v>
      </c>
      <c r="B80" s="28">
        <v>6302</v>
      </c>
      <c r="C80" s="28">
        <v>8332</v>
      </c>
      <c r="D80" s="28">
        <v>5752</v>
      </c>
      <c r="E80" s="28">
        <v>1770</v>
      </c>
      <c r="F80" s="28">
        <v>4782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</row>
    <row r="81" spans="1:21" ht="15" customHeight="1">
      <c r="A81" s="13" t="s">
        <v>129</v>
      </c>
      <c r="B81" s="16">
        <v>-145</v>
      </c>
      <c r="C81" s="16">
        <v>-763</v>
      </c>
      <c r="D81" s="16">
        <v>-135</v>
      </c>
      <c r="E81" s="16">
        <v>-1761</v>
      </c>
      <c r="F81" s="29">
        <v>78</v>
      </c>
      <c r="G81" s="16">
        <v>-855</v>
      </c>
      <c r="H81" s="28">
        <v>229</v>
      </c>
      <c r="I81" s="16">
        <v>-2192</v>
      </c>
      <c r="J81" s="28">
        <v>475</v>
      </c>
      <c r="K81" s="29">
        <v>15</v>
      </c>
      <c r="L81" s="28">
        <v>501</v>
      </c>
      <c r="M81" s="28">
        <v>687</v>
      </c>
      <c r="N81" s="28">
        <v>1704</v>
      </c>
      <c r="O81" s="16">
        <v>-596</v>
      </c>
      <c r="P81" s="16">
        <v>-666</v>
      </c>
      <c r="Q81" s="28">
        <v>145</v>
      </c>
      <c r="R81" s="16">
        <v>-375</v>
      </c>
      <c r="S81" s="16">
        <v>-378</v>
      </c>
      <c r="T81" s="16">
        <v>-655</v>
      </c>
      <c r="U81" s="16">
        <v>-180</v>
      </c>
    </row>
    <row r="82" spans="1:21" ht="15" customHeight="1">
      <c r="A82" s="13" t="s">
        <v>130</v>
      </c>
      <c r="B82" s="26">
        <v>0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</row>
    <row r="83" spans="1:21" ht="15" customHeight="1">
      <c r="A83" s="10" t="s">
        <v>131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5" customHeight="1">
      <c r="A84" s="12" t="s">
        <v>132</v>
      </c>
      <c r="B84" s="28">
        <v>4956</v>
      </c>
      <c r="C84" s="28">
        <v>5426</v>
      </c>
      <c r="D84" s="28">
        <v>4960</v>
      </c>
      <c r="E84" s="16">
        <v>-3481</v>
      </c>
      <c r="F84" s="28">
        <v>4552</v>
      </c>
      <c r="G84" s="28">
        <v>5861</v>
      </c>
      <c r="H84" s="28">
        <v>8107</v>
      </c>
      <c r="I84" s="28">
        <v>5008</v>
      </c>
      <c r="J84" s="28">
        <v>6097</v>
      </c>
      <c r="K84" s="28">
        <v>3443</v>
      </c>
      <c r="L84" s="28">
        <v>6838</v>
      </c>
      <c r="M84" s="26">
        <v>13212</v>
      </c>
      <c r="N84" s="26">
        <v>13215</v>
      </c>
      <c r="O84" s="28">
        <v>8729</v>
      </c>
      <c r="P84" s="28">
        <v>8753</v>
      </c>
      <c r="Q84" s="26">
        <v>13087</v>
      </c>
      <c r="R84" s="26">
        <v>12854</v>
      </c>
      <c r="S84" s="26">
        <v>15301</v>
      </c>
      <c r="T84" s="26">
        <v>12245</v>
      </c>
      <c r="U84" s="26">
        <v>14691</v>
      </c>
    </row>
    <row r="85" spans="1:21" ht="15" customHeight="1">
      <c r="A85" s="10" t="s">
        <v>133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5" customHeight="1">
      <c r="A86" s="12" t="s">
        <v>134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17">
        <v>-1</v>
      </c>
      <c r="O86" s="17">
        <v>-1</v>
      </c>
      <c r="P86" s="26"/>
      <c r="Q86" s="26"/>
      <c r="R86" s="17">
        <v>-1</v>
      </c>
      <c r="S86" s="26"/>
      <c r="T86" s="26"/>
      <c r="U86" s="26"/>
    </row>
    <row r="87" spans="1:21" ht="15" customHeight="1">
      <c r="A87" s="14" t="s">
        <v>135</v>
      </c>
      <c r="B87" s="30">
        <v>4956</v>
      </c>
      <c r="C87" s="30">
        <v>5426</v>
      </c>
      <c r="D87" s="30">
        <v>4960</v>
      </c>
      <c r="E87" s="18">
        <v>-3481</v>
      </c>
      <c r="F87" s="30">
        <v>4552</v>
      </c>
      <c r="G87" s="30">
        <v>5861</v>
      </c>
      <c r="H87" s="30">
        <v>8107</v>
      </c>
      <c r="I87" s="30">
        <v>5008</v>
      </c>
      <c r="J87" s="30">
        <v>6097</v>
      </c>
      <c r="K87" s="30">
        <v>3443</v>
      </c>
      <c r="L87" s="30">
        <v>6838</v>
      </c>
      <c r="M87" s="27">
        <v>13212</v>
      </c>
      <c r="N87" s="27">
        <v>13214</v>
      </c>
      <c r="O87" s="30">
        <v>8728</v>
      </c>
      <c r="P87" s="30">
        <v>8753</v>
      </c>
      <c r="Q87" s="27">
        <v>13087</v>
      </c>
      <c r="R87" s="27">
        <v>12853</v>
      </c>
      <c r="S87" s="27">
        <v>15301</v>
      </c>
      <c r="T87" s="27">
        <v>12245</v>
      </c>
      <c r="U87" s="27">
        <v>14691</v>
      </c>
    </row>
    <row r="88" spans="1:21" ht="15" customHeight="1">
      <c r="A88" s="12" t="s">
        <v>136</v>
      </c>
      <c r="B88" s="26"/>
      <c r="C88" s="26"/>
      <c r="D88" s="26"/>
      <c r="E88" s="26"/>
      <c r="F88" s="26"/>
      <c r="G88" s="26"/>
      <c r="H88" s="26"/>
      <c r="I88" s="26"/>
      <c r="J88" s="16">
        <v>-105</v>
      </c>
      <c r="K88" s="16">
        <v>-1249</v>
      </c>
      <c r="L88" s="16">
        <v>-1370</v>
      </c>
      <c r="M88" s="17">
        <v>-52</v>
      </c>
      <c r="N88" s="16">
        <v>-545</v>
      </c>
      <c r="O88" s="16">
        <v>-205</v>
      </c>
      <c r="P88" s="17">
        <v>-32</v>
      </c>
      <c r="Q88" s="28">
        <v>1397</v>
      </c>
      <c r="R88" s="16">
        <v>-1628</v>
      </c>
      <c r="S88" s="26">
        <v>0</v>
      </c>
      <c r="T88" s="26"/>
      <c r="U88" s="26"/>
    </row>
    <row r="89" spans="1:21" ht="15" customHeight="1">
      <c r="A89" s="13" t="s">
        <v>137</v>
      </c>
      <c r="B89" s="26"/>
      <c r="C89" s="26"/>
      <c r="D89" s="26"/>
      <c r="E89" s="26"/>
      <c r="F89" s="26"/>
      <c r="G89" s="26"/>
      <c r="H89" s="26"/>
      <c r="I89" s="26"/>
      <c r="J89" s="16">
        <v>-105</v>
      </c>
      <c r="K89" s="16">
        <v>-1249</v>
      </c>
      <c r="L89" s="16">
        <v>-1370</v>
      </c>
      <c r="M89" s="17">
        <v>-52</v>
      </c>
      <c r="N89" s="16">
        <v>-545</v>
      </c>
      <c r="O89" s="16">
        <v>-205</v>
      </c>
      <c r="P89" s="17">
        <v>-32</v>
      </c>
      <c r="Q89" s="28">
        <v>1397</v>
      </c>
      <c r="R89" s="16">
        <v>-1628</v>
      </c>
      <c r="S89" s="26">
        <v>0</v>
      </c>
      <c r="T89" s="26"/>
      <c r="U89" s="26"/>
    </row>
    <row r="90" spans="1:21" ht="15" customHeight="1">
      <c r="A90" s="15" t="s">
        <v>138</v>
      </c>
      <c r="B90" s="26"/>
      <c r="C90" s="26"/>
      <c r="D90" s="26"/>
      <c r="E90" s="26"/>
      <c r="F90" s="26"/>
      <c r="G90" s="26"/>
      <c r="H90" s="26"/>
      <c r="I90" s="26"/>
      <c r="J90" s="16">
        <v>-105</v>
      </c>
      <c r="K90" s="16">
        <v>-1249</v>
      </c>
      <c r="L90" s="16">
        <v>-1370</v>
      </c>
      <c r="M90" s="17">
        <v>-52</v>
      </c>
      <c r="N90" s="16">
        <v>-545</v>
      </c>
      <c r="O90" s="16">
        <v>-205</v>
      </c>
      <c r="P90" s="17">
        <v>-32</v>
      </c>
      <c r="Q90" s="26"/>
      <c r="R90" s="26"/>
      <c r="S90" s="26"/>
      <c r="T90" s="26"/>
      <c r="U90" s="26"/>
    </row>
    <row r="91" spans="1:21" ht="15" customHeight="1">
      <c r="A91" s="15" t="s">
        <v>139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16">
        <v>-4459</v>
      </c>
      <c r="S91" s="26">
        <v>0</v>
      </c>
      <c r="T91" s="26"/>
      <c r="U91" s="26"/>
    </row>
    <row r="92" spans="1:21" ht="15" customHeight="1">
      <c r="A92" s="15" t="s">
        <v>140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8">
        <v>1633</v>
      </c>
      <c r="R92" s="28">
        <v>3705</v>
      </c>
      <c r="S92" s="26">
        <v>0</v>
      </c>
      <c r="T92" s="26"/>
      <c r="U92" s="26"/>
    </row>
    <row r="93" spans="1:21" ht="15" customHeight="1">
      <c r="A93" s="19" t="s">
        <v>141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8">
        <v>1633</v>
      </c>
      <c r="R93" s="28">
        <v>3705</v>
      </c>
      <c r="S93" s="26">
        <v>0</v>
      </c>
      <c r="T93" s="26"/>
      <c r="U93" s="26"/>
    </row>
    <row r="94" spans="1:21" ht="15" customHeight="1">
      <c r="A94" s="15" t="s">
        <v>142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16">
        <v>-236</v>
      </c>
      <c r="R94" s="16">
        <v>-874</v>
      </c>
      <c r="S94" s="26">
        <v>0</v>
      </c>
      <c r="T94" s="26"/>
      <c r="U94" s="26"/>
    </row>
    <row r="95" spans="1:21" ht="15" customHeight="1">
      <c r="A95" s="12" t="s">
        <v>143</v>
      </c>
      <c r="B95" s="28">
        <v>4956</v>
      </c>
      <c r="C95" s="28">
        <v>5426</v>
      </c>
      <c r="D95" s="28">
        <v>4960</v>
      </c>
      <c r="E95" s="16">
        <v>-3481</v>
      </c>
      <c r="F95" s="28">
        <v>4552</v>
      </c>
      <c r="G95" s="28">
        <v>5861</v>
      </c>
      <c r="H95" s="28">
        <v>8107</v>
      </c>
      <c r="I95" s="28">
        <v>5008</v>
      </c>
      <c r="J95" s="28">
        <v>5992</v>
      </c>
      <c r="K95" s="28">
        <v>2194</v>
      </c>
      <c r="L95" s="28">
        <v>5468</v>
      </c>
      <c r="M95" s="26">
        <v>13160</v>
      </c>
      <c r="N95" s="26">
        <v>12669</v>
      </c>
      <c r="O95" s="28">
        <v>8523</v>
      </c>
      <c r="P95" s="28">
        <v>8721</v>
      </c>
      <c r="Q95" s="26">
        <v>14484</v>
      </c>
      <c r="R95" s="26">
        <v>11225</v>
      </c>
      <c r="S95" s="26">
        <v>15301</v>
      </c>
      <c r="T95" s="26">
        <v>12245</v>
      </c>
      <c r="U95" s="26">
        <v>14691</v>
      </c>
    </row>
    <row r="96" spans="1:21" ht="15" customHeight="1">
      <c r="A96" s="12" t="s">
        <v>144</v>
      </c>
      <c r="B96" s="28">
        <v>406</v>
      </c>
      <c r="C96" s="28">
        <v>478</v>
      </c>
      <c r="D96" s="28">
        <v>364</v>
      </c>
      <c r="E96" s="29">
        <v>56</v>
      </c>
      <c r="F96" s="28">
        <v>309</v>
      </c>
      <c r="G96" s="28">
        <v>363</v>
      </c>
      <c r="H96" s="29">
        <v>2</v>
      </c>
      <c r="I96" s="17">
        <v>-5</v>
      </c>
      <c r="J96" s="17">
        <v>-19</v>
      </c>
      <c r="K96" s="17">
        <v>-53</v>
      </c>
      <c r="L96" s="17">
        <v>-40</v>
      </c>
      <c r="M96" s="17">
        <v>-14</v>
      </c>
      <c r="N96" s="17">
        <v>-10</v>
      </c>
      <c r="O96" s="17">
        <v>-16</v>
      </c>
      <c r="P96" s="17">
        <v>-14</v>
      </c>
      <c r="Q96" s="29">
        <v>23</v>
      </c>
      <c r="R96" s="29">
        <v>13</v>
      </c>
      <c r="S96" s="29">
        <v>1</v>
      </c>
      <c r="T96" s="29">
        <v>2</v>
      </c>
      <c r="U96" s="29">
        <v>1</v>
      </c>
    </row>
    <row r="97" spans="1:21" ht="15" customHeight="1">
      <c r="A97" s="12" t="s">
        <v>145</v>
      </c>
      <c r="B97" s="28">
        <v>4550</v>
      </c>
      <c r="C97" s="28">
        <v>4948</v>
      </c>
      <c r="D97" s="28">
        <v>4596</v>
      </c>
      <c r="E97" s="16">
        <v>-3537</v>
      </c>
      <c r="F97" s="28">
        <v>4243</v>
      </c>
      <c r="G97" s="28">
        <v>5498</v>
      </c>
      <c r="H97" s="28">
        <v>8105</v>
      </c>
      <c r="I97" s="28">
        <v>5013</v>
      </c>
      <c r="J97" s="28">
        <v>6011</v>
      </c>
      <c r="K97" s="28">
        <v>2247</v>
      </c>
      <c r="L97" s="28">
        <v>5508</v>
      </c>
      <c r="M97" s="26">
        <v>13174</v>
      </c>
      <c r="N97" s="26">
        <v>12679</v>
      </c>
      <c r="O97" s="28">
        <v>8539</v>
      </c>
      <c r="P97" s="28">
        <v>8735</v>
      </c>
      <c r="Q97" s="26">
        <v>14461</v>
      </c>
      <c r="R97" s="26">
        <v>11212</v>
      </c>
      <c r="S97" s="26">
        <v>15300</v>
      </c>
      <c r="T97" s="26">
        <v>12243</v>
      </c>
      <c r="U97" s="26">
        <v>14690</v>
      </c>
    </row>
    <row r="98" spans="1:21" ht="15" customHeight="1">
      <c r="A98" s="10" t="s">
        <v>146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5" customHeight="1">
      <c r="A99" s="12" t="s">
        <v>147</v>
      </c>
      <c r="B99" s="26"/>
      <c r="C99" s="29">
        <v>23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</row>
    <row r="100" spans="1:21" ht="15" customHeight="1">
      <c r="A100" s="14" t="s">
        <v>148</v>
      </c>
      <c r="B100" s="30">
        <v>4550</v>
      </c>
      <c r="C100" s="30">
        <v>4925</v>
      </c>
      <c r="D100" s="30">
        <v>4596</v>
      </c>
      <c r="E100" s="18">
        <v>-3537</v>
      </c>
      <c r="F100" s="30">
        <v>4243</v>
      </c>
      <c r="G100" s="30">
        <v>5498</v>
      </c>
      <c r="H100" s="30">
        <v>8105</v>
      </c>
      <c r="I100" s="30">
        <v>5013</v>
      </c>
      <c r="J100" s="30">
        <v>6011</v>
      </c>
      <c r="K100" s="30">
        <v>2247</v>
      </c>
      <c r="L100" s="30">
        <v>5508</v>
      </c>
      <c r="M100" s="27">
        <v>13174</v>
      </c>
      <c r="N100" s="27">
        <v>12679</v>
      </c>
      <c r="O100" s="30">
        <v>8539</v>
      </c>
      <c r="P100" s="30">
        <v>8735</v>
      </c>
      <c r="Q100" s="27">
        <v>14461</v>
      </c>
      <c r="R100" s="27">
        <v>11212</v>
      </c>
      <c r="S100" s="27">
        <v>15300</v>
      </c>
      <c r="T100" s="27">
        <v>12243</v>
      </c>
      <c r="U100" s="27">
        <v>14690</v>
      </c>
    </row>
    <row r="101" spans="1:21" ht="15" customHeight="1">
      <c r="A101" s="10" t="s">
        <v>149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5" customHeight="1">
      <c r="A102" s="12" t="s">
        <v>150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>
        <v>13160</v>
      </c>
      <c r="N102" s="26">
        <v>12669</v>
      </c>
      <c r="O102" s="28">
        <v>8523</v>
      </c>
      <c r="P102" s="28">
        <v>8721</v>
      </c>
      <c r="Q102" s="26">
        <v>14484</v>
      </c>
      <c r="R102" s="26">
        <v>11225</v>
      </c>
      <c r="S102" s="26">
        <v>15301</v>
      </c>
      <c r="T102" s="26">
        <v>12245</v>
      </c>
      <c r="U102" s="26">
        <v>14691</v>
      </c>
    </row>
    <row r="103" spans="1:21" ht="15" customHeight="1">
      <c r="A103" s="12" t="s">
        <v>151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16">
        <v>-1353</v>
      </c>
      <c r="N103" s="28">
        <v>1752</v>
      </c>
      <c r="O103" s="28">
        <v>1880</v>
      </c>
      <c r="P103" s="16">
        <v>-4754</v>
      </c>
      <c r="Q103" s="28">
        <v>3846</v>
      </c>
      <c r="R103" s="28">
        <v>7616</v>
      </c>
      <c r="S103" s="16">
        <v>-3113</v>
      </c>
      <c r="T103" s="28">
        <v>5627</v>
      </c>
      <c r="U103" s="20">
        <v>-12419</v>
      </c>
    </row>
    <row r="104" spans="1:21" ht="15" customHeight="1">
      <c r="A104" s="12" t="s">
        <v>152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9">
        <v>86</v>
      </c>
      <c r="N104" s="29">
        <v>18</v>
      </c>
      <c r="O104" s="29">
        <v>28</v>
      </c>
      <c r="P104" s="29">
        <v>28</v>
      </c>
      <c r="Q104" s="29">
        <v>48</v>
      </c>
      <c r="R104" s="17">
        <v>-98</v>
      </c>
      <c r="S104" s="28">
        <v>1052</v>
      </c>
      <c r="T104" s="16">
        <v>-1636</v>
      </c>
      <c r="U104" s="28">
        <v>107</v>
      </c>
    </row>
    <row r="105" spans="1:21" ht="15" customHeight="1">
      <c r="A105" s="12" t="s">
        <v>153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17">
        <v>-1</v>
      </c>
      <c r="N105" s="17">
        <v>-1</v>
      </c>
      <c r="O105" s="26"/>
      <c r="P105" s="26"/>
      <c r="Q105" s="17">
        <v>-1</v>
      </c>
      <c r="R105" s="29">
        <v>1</v>
      </c>
      <c r="S105" s="17">
        <v>-2</v>
      </c>
      <c r="T105" s="29">
        <v>1</v>
      </c>
      <c r="U105" s="17">
        <v>-1</v>
      </c>
    </row>
    <row r="106" spans="1:21" ht="15" customHeight="1">
      <c r="A106" s="12" t="s">
        <v>154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8">
        <v>860</v>
      </c>
      <c r="N106" s="16">
        <v>-684</v>
      </c>
      <c r="O106" s="16">
        <v>-1638</v>
      </c>
      <c r="P106" s="16">
        <v>-1146</v>
      </c>
      <c r="Q106" s="28">
        <v>2492</v>
      </c>
      <c r="R106" s="28">
        <v>3405</v>
      </c>
      <c r="S106" s="16">
        <v>-510</v>
      </c>
      <c r="T106" s="16">
        <v>-117</v>
      </c>
      <c r="U106" s="28">
        <v>1310</v>
      </c>
    </row>
    <row r="107" spans="1:21" ht="15" customHeight="1">
      <c r="A107" s="12" t="s">
        <v>155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16">
        <v>-127</v>
      </c>
      <c r="N107" s="28">
        <v>159</v>
      </c>
      <c r="O107" s="28">
        <v>315</v>
      </c>
      <c r="P107" s="28">
        <v>217</v>
      </c>
      <c r="Q107" s="16">
        <v>-512</v>
      </c>
      <c r="R107" s="16">
        <v>-752</v>
      </c>
      <c r="S107" s="17">
        <v>-50</v>
      </c>
      <c r="T107" s="28">
        <v>329</v>
      </c>
      <c r="U107" s="16">
        <v>-309</v>
      </c>
    </row>
    <row r="108" spans="1:21" ht="15" customHeight="1">
      <c r="A108" s="12" t="s">
        <v>156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16">
        <v>-535</v>
      </c>
      <c r="N108" s="28">
        <v>1244</v>
      </c>
      <c r="O108" s="28">
        <v>585</v>
      </c>
      <c r="P108" s="16">
        <v>-5655</v>
      </c>
      <c r="Q108" s="28">
        <v>5873</v>
      </c>
      <c r="R108" s="26">
        <v>10172</v>
      </c>
      <c r="S108" s="16">
        <v>-2623</v>
      </c>
      <c r="T108" s="28">
        <v>4204</v>
      </c>
      <c r="U108" s="20">
        <v>-11312</v>
      </c>
    </row>
    <row r="109" spans="1:21" ht="15" customHeight="1">
      <c r="A109" s="14" t="s">
        <v>157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>
        <v>12625</v>
      </c>
      <c r="N109" s="27">
        <v>13914</v>
      </c>
      <c r="O109" s="30">
        <v>9108</v>
      </c>
      <c r="P109" s="30">
        <v>3066</v>
      </c>
      <c r="Q109" s="27">
        <v>20357</v>
      </c>
      <c r="R109" s="27">
        <v>21398</v>
      </c>
      <c r="S109" s="27">
        <v>12678</v>
      </c>
      <c r="T109" s="27">
        <v>16449</v>
      </c>
      <c r="U109" s="30">
        <v>3379</v>
      </c>
    </row>
    <row r="110" spans="1:21" ht="15" customHeight="1">
      <c r="A110" s="12" t="s">
        <v>158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17">
        <v>-14</v>
      </c>
      <c r="N110" s="17">
        <v>-10</v>
      </c>
      <c r="O110" s="17">
        <v>-16</v>
      </c>
      <c r="P110" s="17">
        <v>-11</v>
      </c>
      <c r="Q110" s="29">
        <v>34</v>
      </c>
      <c r="R110" s="29">
        <v>13</v>
      </c>
      <c r="S110" s="26">
        <v>0</v>
      </c>
      <c r="T110" s="29">
        <v>4</v>
      </c>
      <c r="U110" s="17">
        <v>-5</v>
      </c>
    </row>
    <row r="111" spans="1:21" ht="15" customHeight="1">
      <c r="A111" s="12" t="s">
        <v>159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>
        <v>12639</v>
      </c>
      <c r="N111" s="26">
        <v>13924</v>
      </c>
      <c r="O111" s="28">
        <v>9124</v>
      </c>
      <c r="P111" s="28">
        <v>3077</v>
      </c>
      <c r="Q111" s="26">
        <v>20323</v>
      </c>
      <c r="R111" s="26">
        <v>21385</v>
      </c>
      <c r="S111" s="26">
        <v>12678</v>
      </c>
      <c r="T111" s="26">
        <v>16445</v>
      </c>
      <c r="U111" s="28">
        <v>3383</v>
      </c>
    </row>
    <row r="112" spans="1:21" ht="15" customHeight="1">
      <c r="A112" s="10" t="s">
        <v>160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5" customHeight="1">
      <c r="A113" s="12" t="s">
        <v>161</v>
      </c>
      <c r="B113" s="28">
        <v>4550</v>
      </c>
      <c r="C113" s="28">
        <v>4925</v>
      </c>
      <c r="D113" s="28">
        <v>4596</v>
      </c>
      <c r="E113" s="16">
        <v>-3537</v>
      </c>
      <c r="F113" s="28">
        <v>4243</v>
      </c>
      <c r="G113" s="28">
        <v>5498</v>
      </c>
      <c r="H113" s="28">
        <v>8105</v>
      </c>
      <c r="I113" s="28">
        <v>5013</v>
      </c>
      <c r="J113" s="28">
        <v>6011</v>
      </c>
      <c r="K113" s="28">
        <v>2247</v>
      </c>
      <c r="L113" s="28">
        <v>5508</v>
      </c>
      <c r="M113" s="26">
        <v>13174</v>
      </c>
      <c r="N113" s="26">
        <v>12679</v>
      </c>
      <c r="O113" s="28">
        <v>8539</v>
      </c>
      <c r="P113" s="28">
        <v>8735</v>
      </c>
      <c r="Q113" s="26">
        <v>14461</v>
      </c>
      <c r="R113" s="26">
        <v>11212</v>
      </c>
      <c r="S113" s="26">
        <v>15300</v>
      </c>
      <c r="T113" s="26">
        <v>12243</v>
      </c>
      <c r="U113" s="26">
        <v>14690</v>
      </c>
    </row>
    <row r="114" spans="1:21" ht="15" customHeight="1">
      <c r="A114" s="13" t="s">
        <v>162</v>
      </c>
      <c r="B114" s="28">
        <v>4550</v>
      </c>
      <c r="C114" s="28">
        <v>4925</v>
      </c>
      <c r="D114" s="28">
        <v>4596</v>
      </c>
      <c r="E114" s="16">
        <v>-3537</v>
      </c>
      <c r="F114" s="28">
        <v>4243</v>
      </c>
      <c r="G114" s="28">
        <v>5498</v>
      </c>
      <c r="H114" s="28">
        <v>8105</v>
      </c>
      <c r="I114" s="28">
        <v>5013</v>
      </c>
      <c r="J114" s="28">
        <v>6116</v>
      </c>
      <c r="K114" s="28">
        <v>3496</v>
      </c>
      <c r="L114" s="28">
        <v>6878</v>
      </c>
      <c r="M114" s="26">
        <v>13226</v>
      </c>
      <c r="N114" s="26">
        <v>13224</v>
      </c>
      <c r="O114" s="28">
        <v>8744</v>
      </c>
      <c r="P114" s="28">
        <v>8767</v>
      </c>
      <c r="Q114" s="26">
        <v>13064</v>
      </c>
      <c r="R114" s="26">
        <v>12840</v>
      </c>
      <c r="S114" s="26">
        <v>15300</v>
      </c>
      <c r="T114" s="26">
        <v>12243</v>
      </c>
      <c r="U114" s="26">
        <v>14690</v>
      </c>
    </row>
    <row r="115" spans="1:21" ht="15" customHeight="1">
      <c r="A115" s="13" t="s">
        <v>163</v>
      </c>
      <c r="B115" s="28">
        <v>1214.3499999999999</v>
      </c>
      <c r="C115" s="28">
        <v>1186.29</v>
      </c>
      <c r="D115" s="28">
        <v>1186.29</v>
      </c>
      <c r="E115" s="28">
        <v>1186.29</v>
      </c>
      <c r="F115" s="28">
        <v>1186.29</v>
      </c>
      <c r="G115" s="28">
        <v>1186.29</v>
      </c>
      <c r="H115" s="28">
        <v>1245.8699999999999</v>
      </c>
      <c r="I115" s="28">
        <v>1254.3900000000001</v>
      </c>
      <c r="J115" s="28">
        <v>1254.3900000000001</v>
      </c>
      <c r="K115" s="28">
        <v>1254.3900000000001</v>
      </c>
      <c r="L115" s="28">
        <v>1254.3900000000001</v>
      </c>
      <c r="M115" s="28">
        <v>1254.3900000000001</v>
      </c>
      <c r="N115" s="28">
        <v>1254.3900000000001</v>
      </c>
      <c r="O115" s="28">
        <v>1254.3900000000001</v>
      </c>
      <c r="P115" s="28">
        <v>1254.3900000000001</v>
      </c>
      <c r="Q115" s="28">
        <v>1254.3900000000001</v>
      </c>
      <c r="R115" s="28">
        <v>1254.3900000000001</v>
      </c>
      <c r="S115" s="28">
        <v>1254.3900000000001</v>
      </c>
      <c r="T115" s="28">
        <v>1254.3900000000001</v>
      </c>
      <c r="U115" s="28">
        <v>1254.3900000000001</v>
      </c>
    </row>
    <row r="116" spans="1:21" ht="15" customHeight="1">
      <c r="A116" s="15" t="s">
        <v>164</v>
      </c>
      <c r="B116" s="29">
        <v>3.75</v>
      </c>
      <c r="C116" s="29">
        <v>4.1500000000000004</v>
      </c>
      <c r="D116" s="29">
        <v>3.87</v>
      </c>
      <c r="E116" s="17">
        <v>-2.98</v>
      </c>
      <c r="F116" s="29">
        <v>3.58</v>
      </c>
      <c r="G116" s="29">
        <v>4.63</v>
      </c>
      <c r="H116" s="29">
        <v>6.51</v>
      </c>
      <c r="I116" s="29">
        <v>4</v>
      </c>
      <c r="J116" s="29">
        <v>4.79</v>
      </c>
      <c r="K116" s="29">
        <v>1.79</v>
      </c>
      <c r="L116" s="29">
        <v>4.3899999999999997</v>
      </c>
      <c r="M116" s="29">
        <v>10.5</v>
      </c>
      <c r="N116" s="29">
        <v>10.11</v>
      </c>
      <c r="O116" s="29">
        <v>6.81</v>
      </c>
      <c r="P116" s="29">
        <v>6.96</v>
      </c>
      <c r="Q116" s="29">
        <v>11.53</v>
      </c>
      <c r="R116" s="29">
        <v>8.94</v>
      </c>
      <c r="S116" s="29">
        <v>12.2</v>
      </c>
      <c r="T116" s="29">
        <v>9.76</v>
      </c>
      <c r="U116" s="29">
        <v>11.71</v>
      </c>
    </row>
    <row r="117" spans="1:21" ht="15" customHeight="1">
      <c r="A117" s="15" t="s">
        <v>165</v>
      </c>
      <c r="B117" s="29">
        <v>6.34</v>
      </c>
      <c r="C117" s="29">
        <v>7.66</v>
      </c>
      <c r="D117" s="29">
        <v>6.3</v>
      </c>
      <c r="E117" s="17">
        <v>-2.2400000000000002</v>
      </c>
      <c r="F117" s="29">
        <v>5.59</v>
      </c>
      <c r="G117" s="29">
        <v>4.63</v>
      </c>
      <c r="H117" s="29">
        <v>6.51</v>
      </c>
      <c r="I117" s="29">
        <v>4</v>
      </c>
      <c r="J117" s="29">
        <v>4.88</v>
      </c>
      <c r="K117" s="29">
        <v>2.79</v>
      </c>
      <c r="L117" s="29">
        <v>5.48</v>
      </c>
      <c r="M117" s="29">
        <v>10.54</v>
      </c>
      <c r="N117" s="29">
        <v>10.54</v>
      </c>
      <c r="O117" s="29">
        <v>6.97</v>
      </c>
      <c r="P117" s="29">
        <v>6.99</v>
      </c>
      <c r="Q117" s="29">
        <v>10.41</v>
      </c>
      <c r="R117" s="29">
        <v>10.24</v>
      </c>
      <c r="S117" s="29">
        <v>12.2</v>
      </c>
      <c r="T117" s="29">
        <v>9.76</v>
      </c>
      <c r="U117" s="29">
        <v>11.71</v>
      </c>
    </row>
    <row r="118" spans="1:21" ht="15" customHeight="1">
      <c r="A118" s="15" t="s">
        <v>166</v>
      </c>
      <c r="B118" s="29">
        <v>3.75</v>
      </c>
      <c r="C118" s="29">
        <v>4.17</v>
      </c>
      <c r="D118" s="29">
        <v>4.7</v>
      </c>
      <c r="E118" s="17">
        <v>-1.4</v>
      </c>
      <c r="F118" s="29">
        <v>3.89</v>
      </c>
      <c r="G118" s="29">
        <v>6.76</v>
      </c>
      <c r="H118" s="29">
        <v>6.54</v>
      </c>
      <c r="I118" s="29">
        <v>2.86</v>
      </c>
      <c r="J118" s="29">
        <v>5.0199999999999996</v>
      </c>
      <c r="K118" s="29">
        <v>3.12</v>
      </c>
      <c r="L118" s="29">
        <v>5.83</v>
      </c>
      <c r="M118" s="29">
        <v>10.51</v>
      </c>
      <c r="N118" s="29">
        <v>10.47</v>
      </c>
      <c r="O118" s="29">
        <v>11.74</v>
      </c>
      <c r="P118" s="29">
        <v>8.9600000000000009</v>
      </c>
      <c r="Q118" s="29">
        <v>10.47</v>
      </c>
      <c r="R118" s="29">
        <v>12.26</v>
      </c>
      <c r="S118" s="29">
        <v>13.21</v>
      </c>
      <c r="T118" s="29">
        <v>12.69</v>
      </c>
      <c r="U118" s="29">
        <v>12.91</v>
      </c>
    </row>
    <row r="119" spans="1:21" ht="15" customHeight="1">
      <c r="A119" s="12" t="s">
        <v>167</v>
      </c>
      <c r="B119" s="26"/>
      <c r="C119" s="26"/>
      <c r="D119" s="26"/>
      <c r="E119" s="26"/>
      <c r="F119" s="26"/>
      <c r="G119" s="26"/>
      <c r="H119" s="28">
        <v>8105</v>
      </c>
      <c r="I119" s="28">
        <v>5013</v>
      </c>
      <c r="J119" s="28">
        <v>6011</v>
      </c>
      <c r="K119" s="28">
        <v>2247</v>
      </c>
      <c r="L119" s="28">
        <v>5508</v>
      </c>
      <c r="M119" s="26">
        <v>13174</v>
      </c>
      <c r="N119" s="26">
        <v>12679</v>
      </c>
      <c r="O119" s="28">
        <v>8539</v>
      </c>
      <c r="P119" s="28">
        <v>8735</v>
      </c>
      <c r="Q119" s="26">
        <v>14461</v>
      </c>
      <c r="R119" s="26">
        <v>11212</v>
      </c>
      <c r="S119" s="26">
        <v>15300</v>
      </c>
      <c r="T119" s="26">
        <v>12243</v>
      </c>
      <c r="U119" s="26">
        <v>14690</v>
      </c>
    </row>
    <row r="120" spans="1:21" ht="15" customHeight="1">
      <c r="A120" s="12" t="s">
        <v>168</v>
      </c>
      <c r="B120" s="26"/>
      <c r="C120" s="26"/>
      <c r="D120" s="26"/>
      <c r="E120" s="26"/>
      <c r="F120" s="26"/>
      <c r="G120" s="26"/>
      <c r="H120" s="29">
        <v>1</v>
      </c>
      <c r="I120" s="29">
        <v>1</v>
      </c>
      <c r="J120" s="29">
        <v>1</v>
      </c>
      <c r="K120" s="29">
        <v>1</v>
      </c>
      <c r="L120" s="29">
        <v>1</v>
      </c>
      <c r="M120" s="29">
        <v>1</v>
      </c>
      <c r="N120" s="29">
        <v>1</v>
      </c>
      <c r="O120" s="29">
        <v>1</v>
      </c>
      <c r="P120" s="29">
        <v>1</v>
      </c>
      <c r="Q120" s="29">
        <v>1</v>
      </c>
      <c r="R120" s="29">
        <v>1</v>
      </c>
      <c r="S120" s="29">
        <v>1</v>
      </c>
      <c r="T120" s="29">
        <v>1</v>
      </c>
      <c r="U120" s="29">
        <v>1</v>
      </c>
    </row>
    <row r="121" spans="1:21" ht="15" customHeight="1">
      <c r="A121" s="13" t="s">
        <v>169</v>
      </c>
      <c r="B121" s="26"/>
      <c r="C121" s="26"/>
      <c r="D121" s="26"/>
      <c r="E121" s="26"/>
      <c r="F121" s="26"/>
      <c r="G121" s="26"/>
      <c r="H121" s="28">
        <v>1245.8699999999999</v>
      </c>
      <c r="I121" s="28">
        <v>1254.3900000000001</v>
      </c>
      <c r="J121" s="28">
        <v>1254.3900000000001</v>
      </c>
      <c r="K121" s="28">
        <v>1254.3900000000001</v>
      </c>
      <c r="L121" s="28">
        <v>1254.3900000000001</v>
      </c>
      <c r="M121" s="28">
        <v>1254.3900000000001</v>
      </c>
      <c r="N121" s="28">
        <v>1254.3900000000001</v>
      </c>
      <c r="O121" s="28">
        <v>1254.3900000000001</v>
      </c>
      <c r="P121" s="28">
        <v>1254.3900000000001</v>
      </c>
      <c r="Q121" s="28">
        <v>1254.3900000000001</v>
      </c>
      <c r="R121" s="28">
        <v>1254.3900000000001</v>
      </c>
      <c r="S121" s="28">
        <v>1254.3900000000001</v>
      </c>
      <c r="T121" s="28">
        <v>1254.3900000000001</v>
      </c>
      <c r="U121" s="28">
        <v>1254.3900000000001</v>
      </c>
    </row>
    <row r="122" spans="1:21" ht="15" customHeight="1">
      <c r="A122" s="15" t="s">
        <v>170</v>
      </c>
      <c r="B122" s="29">
        <v>3.75</v>
      </c>
      <c r="C122" s="29">
        <v>4.1500000000000004</v>
      </c>
      <c r="D122" s="29">
        <v>3.87</v>
      </c>
      <c r="E122" s="17">
        <v>-2.98</v>
      </c>
      <c r="F122" s="29">
        <v>3.58</v>
      </c>
      <c r="G122" s="29">
        <v>4.63</v>
      </c>
      <c r="H122" s="29">
        <v>6.51</v>
      </c>
      <c r="I122" s="29">
        <v>4</v>
      </c>
      <c r="J122" s="29">
        <v>4.79</v>
      </c>
      <c r="K122" s="29">
        <v>1.79</v>
      </c>
      <c r="L122" s="29">
        <v>4.3899999999999997</v>
      </c>
      <c r="M122" s="29">
        <v>10.5</v>
      </c>
      <c r="N122" s="29">
        <v>10.11</v>
      </c>
      <c r="O122" s="29">
        <v>6.81</v>
      </c>
      <c r="P122" s="29">
        <v>6.96</v>
      </c>
      <c r="Q122" s="29">
        <v>11.53</v>
      </c>
      <c r="R122" s="29">
        <v>8.94</v>
      </c>
      <c r="S122" s="29">
        <v>12.2</v>
      </c>
      <c r="T122" s="29">
        <v>9.76</v>
      </c>
      <c r="U122" s="29">
        <v>11.71</v>
      </c>
    </row>
    <row r="123" spans="1:21" ht="15" customHeight="1">
      <c r="A123" s="15" t="s">
        <v>171</v>
      </c>
      <c r="B123" s="29">
        <v>3.75</v>
      </c>
      <c r="C123" s="29">
        <v>4.1500000000000004</v>
      </c>
      <c r="D123" s="29">
        <v>3.87</v>
      </c>
      <c r="E123" s="17">
        <v>-2.98</v>
      </c>
      <c r="F123" s="29">
        <v>3.58</v>
      </c>
      <c r="G123" s="29">
        <v>4.63</v>
      </c>
      <c r="H123" s="29">
        <v>6.51</v>
      </c>
      <c r="I123" s="29">
        <v>4</v>
      </c>
      <c r="J123" s="29">
        <v>4.88</v>
      </c>
      <c r="K123" s="29">
        <v>2.79</v>
      </c>
      <c r="L123" s="29">
        <v>5.48</v>
      </c>
      <c r="M123" s="29">
        <v>10.54</v>
      </c>
      <c r="N123" s="29">
        <v>10.54</v>
      </c>
      <c r="O123" s="29">
        <v>6.97</v>
      </c>
      <c r="P123" s="29">
        <v>6.99</v>
      </c>
      <c r="Q123" s="29">
        <v>10.41</v>
      </c>
      <c r="R123" s="29">
        <v>10.24</v>
      </c>
      <c r="S123" s="29">
        <v>12.2</v>
      </c>
      <c r="T123" s="29">
        <v>9.76</v>
      </c>
      <c r="U123" s="29">
        <v>11.71</v>
      </c>
    </row>
    <row r="124" spans="1:21" ht="15" customHeight="1">
      <c r="A124" s="15" t="s">
        <v>172</v>
      </c>
      <c r="B124" s="29">
        <v>3.75</v>
      </c>
      <c r="C124" s="29">
        <v>4.17</v>
      </c>
      <c r="D124" s="29">
        <v>4.7</v>
      </c>
      <c r="E124" s="17">
        <v>-1.4</v>
      </c>
      <c r="F124" s="29">
        <v>3.89</v>
      </c>
      <c r="G124" s="29">
        <v>6.76</v>
      </c>
      <c r="H124" s="29">
        <v>6.54</v>
      </c>
      <c r="I124" s="29">
        <v>2.86</v>
      </c>
      <c r="J124" s="29">
        <v>5.0199999999999996</v>
      </c>
      <c r="K124" s="29">
        <v>3.12</v>
      </c>
      <c r="L124" s="29">
        <v>5.83</v>
      </c>
      <c r="M124" s="29">
        <v>10.51</v>
      </c>
      <c r="N124" s="29">
        <v>10.47</v>
      </c>
      <c r="O124" s="29">
        <v>11.74</v>
      </c>
      <c r="P124" s="29">
        <v>8.9600000000000009</v>
      </c>
      <c r="Q124" s="29">
        <v>10.47</v>
      </c>
      <c r="R124" s="29">
        <v>12.26</v>
      </c>
      <c r="S124" s="29">
        <v>13.21</v>
      </c>
      <c r="T124" s="29">
        <v>12.69</v>
      </c>
      <c r="U124" s="29">
        <v>12.91</v>
      </c>
    </row>
    <row r="125" spans="1:21" ht="15" customHeight="1">
      <c r="A125" s="12" t="s">
        <v>168</v>
      </c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9">
        <v>1</v>
      </c>
      <c r="S125" s="29">
        <v>1</v>
      </c>
      <c r="T125" s="26"/>
      <c r="U125" s="29">
        <v>1</v>
      </c>
    </row>
    <row r="126" spans="1:21" ht="15" customHeight="1">
      <c r="A126" s="13" t="s">
        <v>173</v>
      </c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8">
        <v>1254.3900000000001</v>
      </c>
    </row>
    <row r="127" spans="1:21" ht="15" customHeight="1">
      <c r="A127" s="15" t="s">
        <v>174</v>
      </c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9">
        <v>11.71</v>
      </c>
    </row>
    <row r="128" spans="1:21" ht="15" customHeight="1">
      <c r="A128" s="15" t="s">
        <v>175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9">
        <v>11.71</v>
      </c>
    </row>
    <row r="129" spans="1:21" ht="15" customHeight="1">
      <c r="A129" s="15" t="s">
        <v>176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9">
        <v>12.91</v>
      </c>
    </row>
    <row r="130" spans="1:21" ht="15" customHeight="1">
      <c r="A130" s="12" t="s">
        <v>177</v>
      </c>
      <c r="B130" s="17">
        <v>-2.59</v>
      </c>
      <c r="C130" s="17">
        <v>-3.51</v>
      </c>
      <c r="D130" s="17">
        <v>-2.42</v>
      </c>
      <c r="E130" s="17">
        <v>-0.75</v>
      </c>
      <c r="F130" s="17">
        <v>-2.02</v>
      </c>
      <c r="G130" s="26">
        <v>0</v>
      </c>
      <c r="H130" s="26">
        <v>0</v>
      </c>
      <c r="I130" s="26">
        <v>0</v>
      </c>
      <c r="J130" s="17">
        <v>-0.08</v>
      </c>
      <c r="K130" s="17">
        <v>-1</v>
      </c>
      <c r="L130" s="17">
        <v>-1.0900000000000001</v>
      </c>
      <c r="M130" s="17">
        <v>-0.04</v>
      </c>
      <c r="N130" s="17">
        <v>-0.43</v>
      </c>
      <c r="O130" s="17">
        <v>-0.16</v>
      </c>
      <c r="P130" s="17">
        <v>-0.03</v>
      </c>
      <c r="Q130" s="29">
        <v>1.1100000000000001</v>
      </c>
      <c r="R130" s="17">
        <v>-1.3</v>
      </c>
      <c r="S130" s="26">
        <v>0</v>
      </c>
      <c r="T130" s="26">
        <v>0</v>
      </c>
      <c r="U130" s="26">
        <v>0</v>
      </c>
    </row>
    <row r="131" spans="1:21" ht="15" customHeight="1">
      <c r="A131" s="12" t="s">
        <v>178</v>
      </c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9">
        <v>10.08</v>
      </c>
      <c r="N131" s="29">
        <v>11.1</v>
      </c>
      <c r="O131" s="29">
        <v>7.27</v>
      </c>
      <c r="P131" s="29">
        <v>2.4500000000000002</v>
      </c>
      <c r="Q131" s="29">
        <v>16.2</v>
      </c>
      <c r="R131" s="29">
        <v>17.05</v>
      </c>
      <c r="S131" s="29">
        <v>10.11</v>
      </c>
      <c r="T131" s="29">
        <v>13.11</v>
      </c>
      <c r="U131" s="29">
        <v>2.7</v>
      </c>
    </row>
    <row r="132" spans="1:21" ht="15" customHeight="1">
      <c r="A132" s="12" t="s">
        <v>179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9">
        <v>2.7</v>
      </c>
    </row>
    <row r="133" spans="1:21" ht="15" customHeight="1">
      <c r="A133" s="10" t="s">
        <v>180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5" customHeight="1">
      <c r="A134" s="12" t="s">
        <v>181</v>
      </c>
      <c r="B134" s="26"/>
      <c r="C134" s="26"/>
      <c r="D134" s="26"/>
      <c r="E134" s="26">
        <v>0</v>
      </c>
      <c r="F134" s="26"/>
      <c r="G134" s="26"/>
      <c r="H134" s="26"/>
      <c r="I134" s="26"/>
      <c r="J134" s="26"/>
      <c r="K134" s="26">
        <v>0</v>
      </c>
      <c r="L134" s="26">
        <v>0</v>
      </c>
      <c r="M134" s="26"/>
      <c r="N134" s="26">
        <v>0</v>
      </c>
      <c r="O134" s="26">
        <v>0</v>
      </c>
      <c r="P134" s="26"/>
      <c r="Q134" s="26"/>
      <c r="R134" s="26"/>
      <c r="S134" s="26"/>
      <c r="T134" s="26"/>
      <c r="U134" s="26"/>
    </row>
    <row r="135" spans="1:21" ht="15" customHeight="1">
      <c r="A135" s="12" t="s">
        <v>182</v>
      </c>
      <c r="B135" s="28">
        <v>4550</v>
      </c>
      <c r="C135" s="28">
        <v>4925</v>
      </c>
      <c r="D135" s="28">
        <v>4596</v>
      </c>
      <c r="E135" s="16">
        <v>-3537</v>
      </c>
      <c r="F135" s="28">
        <v>4243</v>
      </c>
      <c r="G135" s="28">
        <v>5498</v>
      </c>
      <c r="H135" s="28">
        <v>8105</v>
      </c>
      <c r="I135" s="28">
        <v>5013</v>
      </c>
      <c r="J135" s="28">
        <v>6011</v>
      </c>
      <c r="K135" s="28">
        <v>2247</v>
      </c>
      <c r="L135" s="28">
        <v>5508</v>
      </c>
      <c r="M135" s="26">
        <v>13174</v>
      </c>
      <c r="N135" s="26">
        <v>12679</v>
      </c>
      <c r="O135" s="28">
        <v>8539</v>
      </c>
      <c r="P135" s="28">
        <v>8735</v>
      </c>
      <c r="Q135" s="26">
        <v>14461</v>
      </c>
      <c r="R135" s="26">
        <v>11212</v>
      </c>
      <c r="S135" s="26">
        <v>15300</v>
      </c>
      <c r="T135" s="26">
        <v>12243</v>
      </c>
      <c r="U135" s="26">
        <v>14690</v>
      </c>
    </row>
    <row r="136" spans="1:21" ht="15" customHeight="1">
      <c r="A136" s="13" t="s">
        <v>183</v>
      </c>
      <c r="B136" s="28">
        <v>4550</v>
      </c>
      <c r="C136" s="28">
        <v>4925</v>
      </c>
      <c r="D136" s="28">
        <v>4596</v>
      </c>
      <c r="E136" s="16">
        <v>-3537</v>
      </c>
      <c r="F136" s="28">
        <v>4243</v>
      </c>
      <c r="G136" s="28">
        <v>5498</v>
      </c>
      <c r="H136" s="28">
        <v>8105</v>
      </c>
      <c r="I136" s="28">
        <v>5013</v>
      </c>
      <c r="J136" s="28">
        <v>6116</v>
      </c>
      <c r="K136" s="28">
        <v>3496</v>
      </c>
      <c r="L136" s="28">
        <v>6878</v>
      </c>
      <c r="M136" s="26">
        <v>13226</v>
      </c>
      <c r="N136" s="26">
        <v>13224</v>
      </c>
      <c r="O136" s="28">
        <v>8744</v>
      </c>
      <c r="P136" s="28">
        <v>8767</v>
      </c>
      <c r="Q136" s="26">
        <v>13064</v>
      </c>
      <c r="R136" s="26">
        <v>12840</v>
      </c>
      <c r="S136" s="26">
        <v>15300</v>
      </c>
      <c r="T136" s="26">
        <v>12243</v>
      </c>
      <c r="U136" s="26">
        <v>14690</v>
      </c>
    </row>
    <row r="137" spans="1:21" ht="15" customHeight="1">
      <c r="A137" s="13" t="s">
        <v>184</v>
      </c>
      <c r="B137" s="28">
        <v>1218.98</v>
      </c>
      <c r="C137" s="28">
        <v>1188.4000000000001</v>
      </c>
      <c r="D137" s="28">
        <v>1187.06</v>
      </c>
      <c r="E137" s="28">
        <v>1186.29</v>
      </c>
      <c r="F137" s="28">
        <v>1186.29</v>
      </c>
      <c r="G137" s="28">
        <v>1186.29</v>
      </c>
      <c r="H137" s="28">
        <v>1245.8699999999999</v>
      </c>
      <c r="I137" s="28">
        <v>1254.3900000000001</v>
      </c>
      <c r="J137" s="28">
        <v>1254.3900000000001</v>
      </c>
      <c r="K137" s="28">
        <v>1254.3900000000001</v>
      </c>
      <c r="L137" s="28">
        <v>1254.5999999999999</v>
      </c>
      <c r="M137" s="28">
        <v>1254.3900000000001</v>
      </c>
      <c r="N137" s="28">
        <v>1257.53</v>
      </c>
      <c r="O137" s="28">
        <v>1256.6099999999999</v>
      </c>
      <c r="P137" s="28">
        <v>1256.06</v>
      </c>
      <c r="Q137" s="28">
        <v>1255.81</v>
      </c>
      <c r="R137" s="28">
        <v>1255.33</v>
      </c>
      <c r="S137" s="28">
        <v>1255.92</v>
      </c>
      <c r="T137" s="28">
        <v>1255.99</v>
      </c>
      <c r="U137" s="28">
        <v>1254.3900000000001</v>
      </c>
    </row>
    <row r="138" spans="1:21" ht="15" customHeight="1">
      <c r="A138" s="15" t="s">
        <v>185</v>
      </c>
      <c r="B138" s="29">
        <v>6.32</v>
      </c>
      <c r="C138" s="29">
        <v>7.65</v>
      </c>
      <c r="D138" s="29">
        <v>6.29</v>
      </c>
      <c r="E138" s="17">
        <v>-2.2400000000000002</v>
      </c>
      <c r="F138" s="29">
        <v>5.59</v>
      </c>
      <c r="G138" s="29">
        <v>4.63</v>
      </c>
      <c r="H138" s="29">
        <v>6.51</v>
      </c>
      <c r="I138" s="29">
        <v>4</v>
      </c>
      <c r="J138" s="29">
        <v>4.79</v>
      </c>
      <c r="K138" s="29">
        <v>1.79</v>
      </c>
      <c r="L138" s="29">
        <v>4.3899999999999997</v>
      </c>
      <c r="M138" s="29">
        <v>10.5</v>
      </c>
      <c r="N138" s="29">
        <v>10.08</v>
      </c>
      <c r="O138" s="29">
        <v>6.8</v>
      </c>
      <c r="P138" s="29">
        <v>6.95</v>
      </c>
      <c r="Q138" s="29">
        <v>11.52</v>
      </c>
      <c r="R138" s="29">
        <v>8.93</v>
      </c>
      <c r="S138" s="29">
        <v>12.18</v>
      </c>
      <c r="T138" s="29">
        <v>9.75</v>
      </c>
      <c r="U138" s="29">
        <v>11.71</v>
      </c>
    </row>
    <row r="139" spans="1:21" ht="15" customHeight="1">
      <c r="A139" s="15" t="s">
        <v>186</v>
      </c>
      <c r="B139" s="29">
        <v>6.32</v>
      </c>
      <c r="C139" s="29">
        <v>7.65</v>
      </c>
      <c r="D139" s="29">
        <v>6.29</v>
      </c>
      <c r="E139" s="17">
        <v>-2.2400000000000002</v>
      </c>
      <c r="F139" s="29">
        <v>5.59</v>
      </c>
      <c r="G139" s="29">
        <v>4.63</v>
      </c>
      <c r="H139" s="29">
        <v>6.51</v>
      </c>
      <c r="I139" s="29">
        <v>4</v>
      </c>
      <c r="J139" s="29">
        <v>4.88</v>
      </c>
      <c r="K139" s="29">
        <v>2.79</v>
      </c>
      <c r="L139" s="29">
        <v>5.48</v>
      </c>
      <c r="M139" s="29">
        <v>10.54</v>
      </c>
      <c r="N139" s="29">
        <v>10.52</v>
      </c>
      <c r="O139" s="29">
        <v>6.96</v>
      </c>
      <c r="P139" s="29">
        <v>6.98</v>
      </c>
      <c r="Q139" s="29">
        <v>10.4</v>
      </c>
      <c r="R139" s="29">
        <v>10.24</v>
      </c>
      <c r="S139" s="29">
        <v>12.18</v>
      </c>
      <c r="T139" s="29">
        <v>9.75</v>
      </c>
      <c r="U139" s="29">
        <v>11.71</v>
      </c>
    </row>
    <row r="140" spans="1:21" ht="15" customHeight="1">
      <c r="A140" s="15" t="s">
        <v>187</v>
      </c>
      <c r="B140" s="29">
        <v>3.73</v>
      </c>
      <c r="C140" s="29">
        <v>4.16</v>
      </c>
      <c r="D140" s="29">
        <v>4.6900000000000004</v>
      </c>
      <c r="E140" s="17">
        <v>-1.4</v>
      </c>
      <c r="F140" s="29">
        <v>3.89</v>
      </c>
      <c r="G140" s="29">
        <v>6.76</v>
      </c>
      <c r="H140" s="29">
        <v>6.54</v>
      </c>
      <c r="I140" s="29">
        <v>2.86</v>
      </c>
      <c r="J140" s="29">
        <v>5.0199999999999996</v>
      </c>
      <c r="K140" s="29">
        <v>3.12</v>
      </c>
      <c r="L140" s="29">
        <v>5.83</v>
      </c>
      <c r="M140" s="29">
        <v>10.51</v>
      </c>
      <c r="N140" s="29">
        <v>10.44</v>
      </c>
      <c r="O140" s="29">
        <v>11.72</v>
      </c>
      <c r="P140" s="29">
        <v>8.9499999999999993</v>
      </c>
      <c r="Q140" s="29">
        <v>10.45</v>
      </c>
      <c r="R140" s="29">
        <v>12.25</v>
      </c>
      <c r="S140" s="29">
        <v>13.19</v>
      </c>
      <c r="T140" s="29">
        <v>12.67</v>
      </c>
      <c r="U140" s="29">
        <v>12.91</v>
      </c>
    </row>
    <row r="141" spans="1:21" ht="15" customHeight="1">
      <c r="A141" s="12" t="s">
        <v>188</v>
      </c>
      <c r="B141" s="26"/>
      <c r="C141" s="26"/>
      <c r="D141" s="26"/>
      <c r="E141" s="26"/>
      <c r="F141" s="26"/>
      <c r="G141" s="26"/>
      <c r="H141" s="28">
        <v>8105</v>
      </c>
      <c r="I141" s="28">
        <v>5013</v>
      </c>
      <c r="J141" s="28">
        <v>6011</v>
      </c>
      <c r="K141" s="28">
        <v>2247</v>
      </c>
      <c r="L141" s="28">
        <v>5508</v>
      </c>
      <c r="M141" s="26">
        <v>13174</v>
      </c>
      <c r="N141" s="26">
        <v>12679</v>
      </c>
      <c r="O141" s="28">
        <v>8539</v>
      </c>
      <c r="P141" s="28">
        <v>8735</v>
      </c>
      <c r="Q141" s="26">
        <v>14461</v>
      </c>
      <c r="R141" s="26">
        <v>11212</v>
      </c>
      <c r="S141" s="26">
        <v>15300</v>
      </c>
      <c r="T141" s="26">
        <v>12243</v>
      </c>
      <c r="U141" s="26">
        <v>14690</v>
      </c>
    </row>
    <row r="142" spans="1:21" ht="15" customHeight="1">
      <c r="A142" s="12" t="s">
        <v>189</v>
      </c>
      <c r="B142" s="26"/>
      <c r="C142" s="26"/>
      <c r="D142" s="26"/>
      <c r="E142" s="26"/>
      <c r="F142" s="26"/>
      <c r="G142" s="26"/>
      <c r="H142" s="29">
        <v>1</v>
      </c>
      <c r="I142" s="29">
        <v>1</v>
      </c>
      <c r="J142" s="29">
        <v>1</v>
      </c>
      <c r="K142" s="29">
        <v>1</v>
      </c>
      <c r="L142" s="29">
        <v>1</v>
      </c>
      <c r="M142" s="29">
        <v>1</v>
      </c>
      <c r="N142" s="29">
        <v>1</v>
      </c>
      <c r="O142" s="29">
        <v>1</v>
      </c>
      <c r="P142" s="29">
        <v>1</v>
      </c>
      <c r="Q142" s="29">
        <v>1</v>
      </c>
      <c r="R142" s="29">
        <v>1</v>
      </c>
      <c r="S142" s="29">
        <v>1</v>
      </c>
      <c r="T142" s="29">
        <v>1</v>
      </c>
      <c r="U142" s="29">
        <v>1</v>
      </c>
    </row>
    <row r="143" spans="1:21" ht="15" customHeight="1">
      <c r="A143" s="13" t="s">
        <v>190</v>
      </c>
      <c r="B143" s="26"/>
      <c r="C143" s="26"/>
      <c r="D143" s="26"/>
      <c r="E143" s="26"/>
      <c r="F143" s="26"/>
      <c r="G143" s="26"/>
      <c r="H143" s="28">
        <v>1245.8699999999999</v>
      </c>
      <c r="I143" s="28">
        <v>1254.3900000000001</v>
      </c>
      <c r="J143" s="28">
        <v>1254.3900000000001</v>
      </c>
      <c r="K143" s="28">
        <v>1254.3900000000001</v>
      </c>
      <c r="L143" s="28">
        <v>1254.5999999999999</v>
      </c>
      <c r="M143" s="28">
        <v>1254.3900000000001</v>
      </c>
      <c r="N143" s="28">
        <v>1257.53</v>
      </c>
      <c r="O143" s="28">
        <v>1256.6099999999999</v>
      </c>
      <c r="P143" s="28">
        <v>1256.06</v>
      </c>
      <c r="Q143" s="28">
        <v>1255.81</v>
      </c>
      <c r="R143" s="28">
        <v>1255.33</v>
      </c>
      <c r="S143" s="28">
        <v>1255.92</v>
      </c>
      <c r="T143" s="28">
        <v>1255.99</v>
      </c>
      <c r="U143" s="28">
        <v>1254.3900000000001</v>
      </c>
    </row>
    <row r="144" spans="1:21" ht="15" customHeight="1">
      <c r="A144" s="15" t="s">
        <v>191</v>
      </c>
      <c r="B144" s="29">
        <v>3.73</v>
      </c>
      <c r="C144" s="29">
        <v>4.1399999999999997</v>
      </c>
      <c r="D144" s="29">
        <v>3.87</v>
      </c>
      <c r="E144" s="17">
        <v>-2.98</v>
      </c>
      <c r="F144" s="29">
        <v>3.58</v>
      </c>
      <c r="G144" s="29">
        <v>4.63</v>
      </c>
      <c r="H144" s="29">
        <v>6.51</v>
      </c>
      <c r="I144" s="29">
        <v>4</v>
      </c>
      <c r="J144" s="29">
        <v>4.79</v>
      </c>
      <c r="K144" s="29">
        <v>1.79</v>
      </c>
      <c r="L144" s="29">
        <v>4.3899999999999997</v>
      </c>
      <c r="M144" s="29">
        <v>10.5</v>
      </c>
      <c r="N144" s="29">
        <v>10.08</v>
      </c>
      <c r="O144" s="29">
        <v>6.8</v>
      </c>
      <c r="P144" s="29">
        <v>6.95</v>
      </c>
      <c r="Q144" s="29">
        <v>11.52</v>
      </c>
      <c r="R144" s="29">
        <v>8.93</v>
      </c>
      <c r="S144" s="29">
        <v>12.18</v>
      </c>
      <c r="T144" s="29">
        <v>9.75</v>
      </c>
      <c r="U144" s="29">
        <v>11.71</v>
      </c>
    </row>
    <row r="145" spans="1:21" ht="15" customHeight="1">
      <c r="A145" s="15" t="s">
        <v>192</v>
      </c>
      <c r="B145" s="29">
        <v>3.73</v>
      </c>
      <c r="C145" s="29">
        <v>4.1399999999999997</v>
      </c>
      <c r="D145" s="29">
        <v>3.87</v>
      </c>
      <c r="E145" s="17">
        <v>-2.98</v>
      </c>
      <c r="F145" s="29">
        <v>3.58</v>
      </c>
      <c r="G145" s="29">
        <v>4.63</v>
      </c>
      <c r="H145" s="29">
        <v>6.51</v>
      </c>
      <c r="I145" s="29">
        <v>4</v>
      </c>
      <c r="J145" s="29">
        <v>4.88</v>
      </c>
      <c r="K145" s="29">
        <v>2.79</v>
      </c>
      <c r="L145" s="29">
        <v>5.48</v>
      </c>
      <c r="M145" s="29">
        <v>10.54</v>
      </c>
      <c r="N145" s="29">
        <v>10.52</v>
      </c>
      <c r="O145" s="29">
        <v>6.96</v>
      </c>
      <c r="P145" s="29">
        <v>6.98</v>
      </c>
      <c r="Q145" s="29">
        <v>10.4</v>
      </c>
      <c r="R145" s="29">
        <v>10.24</v>
      </c>
      <c r="S145" s="29">
        <v>12.18</v>
      </c>
      <c r="T145" s="29">
        <v>9.75</v>
      </c>
      <c r="U145" s="29">
        <v>11.71</v>
      </c>
    </row>
    <row r="146" spans="1:21" ht="15" customHeight="1">
      <c r="A146" s="15" t="s">
        <v>193</v>
      </c>
      <c r="B146" s="29">
        <v>3.73</v>
      </c>
      <c r="C146" s="29">
        <v>4.16</v>
      </c>
      <c r="D146" s="29">
        <v>4.6900000000000004</v>
      </c>
      <c r="E146" s="17">
        <v>-1.4</v>
      </c>
      <c r="F146" s="29">
        <v>3.89</v>
      </c>
      <c r="G146" s="29">
        <v>6.76</v>
      </c>
      <c r="H146" s="29">
        <v>6.54</v>
      </c>
      <c r="I146" s="29">
        <v>2.86</v>
      </c>
      <c r="J146" s="29">
        <v>5.0199999999999996</v>
      </c>
      <c r="K146" s="29">
        <v>3.12</v>
      </c>
      <c r="L146" s="29">
        <v>5.83</v>
      </c>
      <c r="M146" s="29">
        <v>10.51</v>
      </c>
      <c r="N146" s="29">
        <v>10.44</v>
      </c>
      <c r="O146" s="29">
        <v>11.72</v>
      </c>
      <c r="P146" s="29">
        <v>8.9499999999999993</v>
      </c>
      <c r="Q146" s="29">
        <v>10.45</v>
      </c>
      <c r="R146" s="29">
        <v>12.25</v>
      </c>
      <c r="S146" s="29">
        <v>13.19</v>
      </c>
      <c r="T146" s="29">
        <v>12.67</v>
      </c>
      <c r="U146" s="29">
        <v>12.91</v>
      </c>
    </row>
    <row r="147" spans="1:21" ht="15" customHeight="1">
      <c r="A147" s="12" t="s">
        <v>189</v>
      </c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9">
        <v>1</v>
      </c>
      <c r="S147" s="29">
        <v>1</v>
      </c>
      <c r="T147" s="26"/>
      <c r="U147" s="29">
        <v>1</v>
      </c>
    </row>
    <row r="148" spans="1:21" ht="15" customHeight="1">
      <c r="A148" s="13" t="s">
        <v>194</v>
      </c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8">
        <v>1254.3900000000001</v>
      </c>
    </row>
    <row r="149" spans="1:21" ht="15" customHeight="1">
      <c r="A149" s="15" t="s">
        <v>195</v>
      </c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9">
        <v>11.7</v>
      </c>
    </row>
    <row r="150" spans="1:21" ht="15" customHeight="1">
      <c r="A150" s="15" t="s">
        <v>196</v>
      </c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9">
        <v>11.7</v>
      </c>
    </row>
    <row r="151" spans="1:21" ht="15" customHeight="1">
      <c r="A151" s="15" t="s">
        <v>197</v>
      </c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9">
        <v>12.91</v>
      </c>
    </row>
    <row r="152" spans="1:21" ht="15" customHeight="1">
      <c r="A152" s="12" t="s">
        <v>198</v>
      </c>
      <c r="B152" s="26">
        <v>0</v>
      </c>
      <c r="C152" s="26">
        <v>0</v>
      </c>
      <c r="D152" s="26">
        <v>0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17">
        <v>-0.08</v>
      </c>
      <c r="K152" s="17">
        <v>-1</v>
      </c>
      <c r="L152" s="17">
        <v>-1.0900000000000001</v>
      </c>
      <c r="M152" s="17">
        <v>-0.04</v>
      </c>
      <c r="N152" s="17">
        <v>-0.43</v>
      </c>
      <c r="O152" s="17">
        <v>-0.16</v>
      </c>
      <c r="P152" s="17">
        <v>-0.02</v>
      </c>
      <c r="Q152" s="29">
        <v>1.1200000000000001</v>
      </c>
      <c r="R152" s="17">
        <v>-1.31</v>
      </c>
      <c r="S152" s="26">
        <v>0</v>
      </c>
      <c r="T152" s="26">
        <v>0</v>
      </c>
      <c r="U152" s="26">
        <v>0</v>
      </c>
    </row>
    <row r="153" spans="1:21" ht="15" customHeight="1">
      <c r="A153" s="12" t="s">
        <v>199</v>
      </c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9">
        <v>10.08</v>
      </c>
      <c r="N153" s="29">
        <v>11.07</v>
      </c>
      <c r="O153" s="29">
        <v>7.26</v>
      </c>
      <c r="P153" s="29">
        <v>2.4500000000000002</v>
      </c>
      <c r="Q153" s="29">
        <v>16.18</v>
      </c>
      <c r="R153" s="29">
        <v>17.04</v>
      </c>
      <c r="S153" s="29">
        <v>10.09</v>
      </c>
      <c r="T153" s="29">
        <v>13.09</v>
      </c>
      <c r="U153" s="29">
        <v>2.7</v>
      </c>
    </row>
    <row r="154" spans="1:21" ht="15" customHeight="1">
      <c r="A154" s="12" t="s">
        <v>200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9">
        <v>2.7</v>
      </c>
    </row>
    <row r="155" spans="1:21" ht="15" customHeight="1">
      <c r="A155" s="10" t="s">
        <v>201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spans="1:21" ht="15" customHeight="1">
      <c r="A156" s="12" t="s">
        <v>202</v>
      </c>
      <c r="B156" s="29">
        <v>2.7</v>
      </c>
      <c r="C156" s="29">
        <v>3.25</v>
      </c>
      <c r="D156" s="29">
        <v>4</v>
      </c>
      <c r="E156" s="29">
        <v>3.15</v>
      </c>
      <c r="F156" s="29">
        <v>1</v>
      </c>
      <c r="G156" s="29">
        <v>3</v>
      </c>
      <c r="H156" s="29">
        <v>3.25</v>
      </c>
      <c r="I156" s="29">
        <v>3.5</v>
      </c>
      <c r="J156" s="29">
        <v>3.5</v>
      </c>
      <c r="K156" s="29">
        <v>3.5</v>
      </c>
      <c r="L156" s="29">
        <v>2.5</v>
      </c>
      <c r="M156" s="29">
        <v>2.75</v>
      </c>
      <c r="N156" s="29">
        <v>3.5</v>
      </c>
      <c r="O156" s="29">
        <v>4.25</v>
      </c>
      <c r="P156" s="26">
        <v>0</v>
      </c>
      <c r="Q156" s="29">
        <v>6.5</v>
      </c>
      <c r="R156" s="29">
        <v>4.75</v>
      </c>
      <c r="S156" s="29">
        <v>5</v>
      </c>
      <c r="T156" s="29">
        <v>5.5</v>
      </c>
      <c r="U156" s="29">
        <v>5.75</v>
      </c>
    </row>
    <row r="157" spans="1:21" ht="15" customHeight="1">
      <c r="A157" s="12" t="s">
        <v>203</v>
      </c>
      <c r="B157" s="29">
        <v>1.89</v>
      </c>
      <c r="C157" s="29">
        <v>2.2799999999999998</v>
      </c>
      <c r="D157" s="29">
        <v>2.8</v>
      </c>
      <c r="E157" s="29">
        <v>2.21</v>
      </c>
      <c r="F157" s="29">
        <v>0.7</v>
      </c>
      <c r="G157" s="29">
        <v>2.1</v>
      </c>
      <c r="H157" s="29">
        <v>2.2799999999999998</v>
      </c>
      <c r="I157" s="29">
        <v>2.4500000000000002</v>
      </c>
      <c r="J157" s="29">
        <v>2.4500000000000002</v>
      </c>
      <c r="K157" s="29">
        <v>2.4500000000000002</v>
      </c>
      <c r="L157" s="29">
        <v>1.75</v>
      </c>
      <c r="M157" s="29">
        <v>1.93</v>
      </c>
      <c r="N157" s="29">
        <v>2.4500000000000002</v>
      </c>
      <c r="O157" s="29">
        <v>2.98</v>
      </c>
      <c r="P157" s="26">
        <v>0</v>
      </c>
      <c r="Q157" s="29">
        <v>4.55</v>
      </c>
      <c r="R157" s="29">
        <v>3.33</v>
      </c>
      <c r="S157" s="29">
        <v>3.5</v>
      </c>
      <c r="T157" s="29">
        <v>3.85</v>
      </c>
      <c r="U157" s="29">
        <v>4.03</v>
      </c>
    </row>
    <row r="158" spans="1:21" ht="15" customHeight="1">
      <c r="A158" s="12" t="s">
        <v>204</v>
      </c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9">
        <v>2.86</v>
      </c>
      <c r="Q158" s="29">
        <v>6.6</v>
      </c>
      <c r="R158" s="29">
        <v>4.8499999999999996</v>
      </c>
      <c r="S158" s="29">
        <v>5.19</v>
      </c>
      <c r="T158" s="29">
        <v>5.37</v>
      </c>
      <c r="U158" s="29">
        <v>5.86</v>
      </c>
    </row>
    <row r="159" spans="1:21" ht="15" customHeight="1">
      <c r="A159" s="12" t="s">
        <v>205</v>
      </c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9">
        <v>2.19</v>
      </c>
      <c r="Q159" s="29">
        <v>5.26</v>
      </c>
      <c r="R159" s="29">
        <v>3.84</v>
      </c>
      <c r="S159" s="29">
        <v>4.1100000000000003</v>
      </c>
      <c r="T159" s="29">
        <v>3.52</v>
      </c>
      <c r="U159" s="29">
        <v>3.84</v>
      </c>
    </row>
    <row r="160" spans="1:21" ht="15" customHeight="1">
      <c r="A160" s="12" t="s">
        <v>206</v>
      </c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9">
        <v>7.27</v>
      </c>
      <c r="S160" s="26"/>
      <c r="T160" s="26"/>
      <c r="U160" s="26"/>
    </row>
    <row r="161" spans="1:21" ht="15" customHeight="1">
      <c r="A161" s="12" t="s">
        <v>207</v>
      </c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9">
        <v>6.76</v>
      </c>
      <c r="S161" s="26"/>
      <c r="T161" s="26"/>
      <c r="U161" s="26"/>
    </row>
    <row r="162" spans="1:21" ht="15" customHeight="1">
      <c r="A162" s="10" t="s">
        <v>208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spans="1:21" ht="15" customHeight="1">
      <c r="A163" s="12" t="s">
        <v>209</v>
      </c>
      <c r="B163" s="26">
        <v>11932</v>
      </c>
      <c r="C163" s="26">
        <v>14275</v>
      </c>
      <c r="D163" s="26">
        <v>12748</v>
      </c>
      <c r="E163" s="16">
        <v>-1373</v>
      </c>
      <c r="F163" s="26">
        <v>10991</v>
      </c>
      <c r="G163" s="26">
        <v>10148</v>
      </c>
      <c r="H163" s="26">
        <v>13540</v>
      </c>
      <c r="I163" s="28">
        <v>8995</v>
      </c>
      <c r="J163" s="26">
        <v>10584</v>
      </c>
      <c r="K163" s="28">
        <v>7637</v>
      </c>
      <c r="L163" s="26">
        <v>11293</v>
      </c>
      <c r="M163" s="26">
        <v>18250</v>
      </c>
      <c r="N163" s="26">
        <v>18545</v>
      </c>
      <c r="O163" s="26">
        <v>20008</v>
      </c>
      <c r="P163" s="26">
        <v>14131</v>
      </c>
      <c r="Q163" s="26">
        <v>17115</v>
      </c>
      <c r="R163" s="26">
        <v>21651</v>
      </c>
      <c r="S163" s="26">
        <v>23898</v>
      </c>
      <c r="T163" s="26">
        <v>22455</v>
      </c>
      <c r="U163" s="26">
        <v>22002</v>
      </c>
    </row>
    <row r="164" spans="1:21" ht="15" customHeight="1">
      <c r="A164" s="12" t="s">
        <v>210</v>
      </c>
      <c r="B164" s="26">
        <v>14908</v>
      </c>
      <c r="C164" s="26">
        <v>17352</v>
      </c>
      <c r="D164" s="26">
        <v>16229</v>
      </c>
      <c r="E164" s="28">
        <v>3168</v>
      </c>
      <c r="F164" s="26">
        <v>15029</v>
      </c>
      <c r="G164" s="26">
        <v>15971</v>
      </c>
      <c r="H164" s="26">
        <v>17511</v>
      </c>
      <c r="I164" s="26">
        <v>13685</v>
      </c>
      <c r="J164" s="26">
        <v>14629</v>
      </c>
      <c r="K164" s="26">
        <v>12175</v>
      </c>
      <c r="L164" s="26">
        <v>15668</v>
      </c>
      <c r="M164" s="26">
        <v>22769</v>
      </c>
      <c r="N164" s="26">
        <v>23103</v>
      </c>
      <c r="O164" s="26">
        <v>25758</v>
      </c>
      <c r="P164" s="26">
        <v>19653</v>
      </c>
      <c r="Q164" s="26">
        <v>22955</v>
      </c>
      <c r="R164" s="26">
        <v>28067</v>
      </c>
      <c r="S164" s="26">
        <v>31047</v>
      </c>
      <c r="T164" s="26">
        <v>30026</v>
      </c>
      <c r="U164" s="26">
        <v>29350</v>
      </c>
    </row>
    <row r="165" spans="1:21" ht="15" customHeight="1">
      <c r="A165" s="12" t="s">
        <v>211</v>
      </c>
      <c r="B165" s="26">
        <v>15325</v>
      </c>
      <c r="C165" s="26">
        <v>17803</v>
      </c>
      <c r="D165" s="26">
        <v>16738</v>
      </c>
      <c r="E165" s="28">
        <v>3751</v>
      </c>
      <c r="F165" s="26">
        <v>15740</v>
      </c>
      <c r="G165" s="26">
        <v>16667</v>
      </c>
      <c r="H165" s="26">
        <v>18109</v>
      </c>
      <c r="I165" s="26">
        <v>14488</v>
      </c>
      <c r="J165" s="26">
        <v>15409</v>
      </c>
      <c r="K165" s="26">
        <v>13015</v>
      </c>
      <c r="L165" s="26">
        <v>16565</v>
      </c>
      <c r="M165" s="26">
        <v>23630</v>
      </c>
      <c r="N165" s="26"/>
      <c r="O165" s="26"/>
      <c r="P165" s="26"/>
      <c r="Q165" s="26"/>
      <c r="R165" s="26"/>
      <c r="S165" s="26"/>
      <c r="T165" s="26"/>
      <c r="U165" s="26"/>
    </row>
    <row r="166" spans="1:21" ht="15" customHeight="1">
      <c r="A166" s="10" t="s">
        <v>212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ht="15" customHeight="1">
      <c r="A167" s="12" t="s">
        <v>213</v>
      </c>
      <c r="B167" s="28">
        <v>2776</v>
      </c>
      <c r="C167" s="28">
        <v>3039</v>
      </c>
      <c r="D167" s="28">
        <v>3444</v>
      </c>
      <c r="E167" s="28">
        <v>4049</v>
      </c>
      <c r="F167" s="28">
        <v>3982</v>
      </c>
      <c r="G167" s="28">
        <v>3868</v>
      </c>
      <c r="H167" s="28">
        <v>3971</v>
      </c>
      <c r="I167" s="28">
        <v>3873</v>
      </c>
      <c r="J167" s="28">
        <v>4045</v>
      </c>
      <c r="K167" s="28">
        <v>4538</v>
      </c>
      <c r="L167" s="28">
        <v>4374</v>
      </c>
      <c r="M167" s="28">
        <v>4519</v>
      </c>
      <c r="N167" s="28">
        <v>4558</v>
      </c>
      <c r="O167" s="28">
        <v>5750</v>
      </c>
      <c r="P167" s="28">
        <v>5522</v>
      </c>
      <c r="Q167" s="28">
        <v>5840</v>
      </c>
      <c r="R167" s="28">
        <v>6416</v>
      </c>
      <c r="S167" s="28">
        <v>7149</v>
      </c>
      <c r="T167" s="28">
        <v>7571</v>
      </c>
      <c r="U167" s="28">
        <v>7348</v>
      </c>
    </row>
    <row r="168" spans="1:21" ht="15" customHeight="1">
      <c r="A168" s="13" t="s">
        <v>214</v>
      </c>
      <c r="B168" s="28">
        <v>2493</v>
      </c>
      <c r="C168" s="28">
        <v>2631</v>
      </c>
      <c r="D168" s="28">
        <v>2998</v>
      </c>
      <c r="E168" s="28">
        <v>3347</v>
      </c>
      <c r="F168" s="28">
        <v>3448</v>
      </c>
      <c r="G168" s="28">
        <v>3330</v>
      </c>
      <c r="H168" s="28">
        <v>3414</v>
      </c>
      <c r="I168" s="28">
        <v>3293</v>
      </c>
      <c r="J168" s="28">
        <v>3339</v>
      </c>
      <c r="K168" s="28">
        <v>3749</v>
      </c>
      <c r="L168" s="28">
        <v>3581</v>
      </c>
      <c r="M168" s="28">
        <v>3663</v>
      </c>
      <c r="N168" s="28">
        <v>3592</v>
      </c>
      <c r="O168" s="28">
        <v>4543</v>
      </c>
      <c r="P168" s="28">
        <v>4429</v>
      </c>
      <c r="Q168" s="28">
        <v>4537</v>
      </c>
      <c r="R168" s="28">
        <v>4284</v>
      </c>
      <c r="S168" s="28">
        <v>4622</v>
      </c>
      <c r="T168" s="28">
        <v>5079</v>
      </c>
      <c r="U168" s="28">
        <v>4980</v>
      </c>
    </row>
    <row r="169" spans="1:21" ht="15" customHeight="1">
      <c r="A169" s="15" t="s">
        <v>215</v>
      </c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8">
        <v>989</v>
      </c>
      <c r="P169" s="28">
        <v>987</v>
      </c>
      <c r="Q169" s="28">
        <v>1073</v>
      </c>
      <c r="R169" s="28">
        <v>1215</v>
      </c>
      <c r="S169" s="28">
        <v>1364</v>
      </c>
      <c r="T169" s="28">
        <v>1481</v>
      </c>
      <c r="U169" s="28">
        <v>1492</v>
      </c>
    </row>
    <row r="170" spans="1:21" ht="15" customHeight="1">
      <c r="A170" s="13" t="s">
        <v>216</v>
      </c>
      <c r="B170" s="28">
        <v>283</v>
      </c>
      <c r="C170" s="28">
        <v>408</v>
      </c>
      <c r="D170" s="28">
        <v>446</v>
      </c>
      <c r="E170" s="28">
        <v>702</v>
      </c>
      <c r="F170" s="28">
        <v>534</v>
      </c>
      <c r="G170" s="28">
        <v>538</v>
      </c>
      <c r="H170" s="28">
        <v>557</v>
      </c>
      <c r="I170" s="28">
        <v>580</v>
      </c>
      <c r="J170" s="28">
        <v>706</v>
      </c>
      <c r="K170" s="28">
        <v>789</v>
      </c>
      <c r="L170" s="28">
        <v>793</v>
      </c>
      <c r="M170" s="28">
        <v>856</v>
      </c>
      <c r="N170" s="28">
        <v>966</v>
      </c>
      <c r="O170" s="28">
        <v>1207</v>
      </c>
      <c r="P170" s="28">
        <v>1093</v>
      </c>
      <c r="Q170" s="28">
        <v>1303</v>
      </c>
      <c r="R170" s="28">
        <v>2132</v>
      </c>
      <c r="S170" s="28">
        <v>2527</v>
      </c>
      <c r="T170" s="28">
        <v>2492</v>
      </c>
      <c r="U170" s="28">
        <v>2368</v>
      </c>
    </row>
    <row r="171" spans="1:21" ht="15" customHeight="1">
      <c r="A171" s="15" t="s">
        <v>217</v>
      </c>
      <c r="B171" s="26"/>
      <c r="C171" s="26"/>
      <c r="D171" s="26"/>
      <c r="E171" s="26"/>
      <c r="F171" s="28">
        <v>413</v>
      </c>
      <c r="G171" s="26"/>
      <c r="H171" s="28">
        <v>253</v>
      </c>
      <c r="I171" s="26"/>
      <c r="J171" s="28">
        <v>706</v>
      </c>
      <c r="K171" s="28">
        <v>789</v>
      </c>
      <c r="L171" s="28">
        <v>793</v>
      </c>
      <c r="M171" s="28">
        <v>856</v>
      </c>
      <c r="N171" s="28">
        <v>966</v>
      </c>
      <c r="O171" s="28">
        <v>1207</v>
      </c>
      <c r="P171" s="28">
        <v>1093</v>
      </c>
      <c r="Q171" s="28">
        <v>1303</v>
      </c>
      <c r="R171" s="28">
        <v>2132</v>
      </c>
      <c r="S171" s="28">
        <v>2527</v>
      </c>
      <c r="T171" s="28">
        <v>2492</v>
      </c>
      <c r="U171" s="28">
        <v>2368</v>
      </c>
    </row>
    <row r="172" spans="1:21" ht="15" customHeight="1">
      <c r="A172" s="19" t="s">
        <v>218</v>
      </c>
      <c r="B172" s="26"/>
      <c r="C172" s="26"/>
      <c r="D172" s="26"/>
      <c r="E172" s="26"/>
      <c r="F172" s="26"/>
      <c r="G172" s="26"/>
      <c r="H172" s="26"/>
      <c r="I172" s="26"/>
      <c r="J172" s="26"/>
      <c r="K172" s="28">
        <v>155</v>
      </c>
      <c r="L172" s="28">
        <v>142</v>
      </c>
      <c r="M172" s="28">
        <v>219</v>
      </c>
      <c r="N172" s="28">
        <v>311</v>
      </c>
      <c r="O172" s="28">
        <v>396</v>
      </c>
      <c r="P172" s="28">
        <v>454</v>
      </c>
      <c r="Q172" s="28">
        <v>434</v>
      </c>
      <c r="R172" s="28">
        <v>438</v>
      </c>
      <c r="S172" s="28">
        <v>421</v>
      </c>
      <c r="T172" s="28">
        <v>360</v>
      </c>
      <c r="U172" s="28">
        <v>252</v>
      </c>
    </row>
    <row r="173" spans="1:21" ht="15" customHeight="1">
      <c r="A173" s="19" t="s">
        <v>219</v>
      </c>
      <c r="B173" s="26"/>
      <c r="C173" s="26"/>
      <c r="D173" s="26"/>
      <c r="E173" s="26"/>
      <c r="F173" s="26"/>
      <c r="G173" s="26"/>
      <c r="H173" s="26"/>
      <c r="I173" s="26"/>
      <c r="J173" s="26"/>
      <c r="K173" s="28">
        <v>134</v>
      </c>
      <c r="L173" s="28">
        <v>128</v>
      </c>
      <c r="M173" s="28">
        <v>122</v>
      </c>
      <c r="N173" s="28">
        <v>118</v>
      </c>
      <c r="O173" s="28">
        <v>134</v>
      </c>
      <c r="P173" s="28">
        <v>102</v>
      </c>
      <c r="Q173" s="28">
        <v>143</v>
      </c>
      <c r="R173" s="28">
        <v>259</v>
      </c>
      <c r="S173" s="28">
        <v>292</v>
      </c>
      <c r="T173" s="28">
        <v>284</v>
      </c>
      <c r="U173" s="26"/>
    </row>
    <row r="174" spans="1:21" ht="15" customHeight="1">
      <c r="A174" s="19" t="s">
        <v>220</v>
      </c>
      <c r="B174" s="26"/>
      <c r="C174" s="26"/>
      <c r="D174" s="26"/>
      <c r="E174" s="26"/>
      <c r="F174" s="26"/>
      <c r="G174" s="26"/>
      <c r="H174" s="26"/>
      <c r="I174" s="26"/>
      <c r="J174" s="26"/>
      <c r="K174" s="28">
        <v>262</v>
      </c>
      <c r="L174" s="28">
        <v>303</v>
      </c>
      <c r="M174" s="28">
        <v>329</v>
      </c>
      <c r="N174" s="28">
        <v>366</v>
      </c>
      <c r="O174" s="28">
        <v>391</v>
      </c>
      <c r="P174" s="28">
        <v>327</v>
      </c>
      <c r="Q174" s="28">
        <v>284</v>
      </c>
      <c r="R174" s="28">
        <v>279</v>
      </c>
      <c r="S174" s="28">
        <v>324</v>
      </c>
      <c r="T174" s="28">
        <v>337</v>
      </c>
      <c r="U174" s="28">
        <v>238</v>
      </c>
    </row>
    <row r="175" spans="1:21" ht="15" customHeight="1">
      <c r="A175" s="10" t="s">
        <v>221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ht="15" customHeight="1">
      <c r="A176" s="12" t="s">
        <v>222</v>
      </c>
      <c r="B176" s="28">
        <v>2976</v>
      </c>
      <c r="C176" s="28">
        <v>3077</v>
      </c>
      <c r="D176" s="28">
        <v>3481</v>
      </c>
      <c r="E176" s="28">
        <v>4541</v>
      </c>
      <c r="F176" s="28">
        <v>4038</v>
      </c>
      <c r="G176" s="28">
        <v>5823</v>
      </c>
      <c r="H176" s="28">
        <v>3971</v>
      </c>
      <c r="I176" s="28">
        <v>4690</v>
      </c>
      <c r="J176" s="28">
        <v>4045</v>
      </c>
      <c r="K176" s="28">
        <v>4538</v>
      </c>
      <c r="L176" s="28">
        <v>4375</v>
      </c>
      <c r="M176" s="28">
        <v>4519</v>
      </c>
      <c r="N176" s="28">
        <v>4558</v>
      </c>
      <c r="O176" s="28">
        <v>5750</v>
      </c>
      <c r="P176" s="28">
        <v>5522</v>
      </c>
      <c r="Q176" s="28">
        <v>5840</v>
      </c>
      <c r="R176" s="28">
        <v>6416</v>
      </c>
      <c r="S176" s="28">
        <v>7149</v>
      </c>
      <c r="T176" s="28">
        <v>7571</v>
      </c>
      <c r="U176" s="28">
        <v>7348</v>
      </c>
    </row>
    <row r="177" spans="1:21" ht="15" customHeight="1">
      <c r="A177" s="13" t="s">
        <v>223</v>
      </c>
      <c r="B177" s="28">
        <v>2493</v>
      </c>
      <c r="C177" s="28">
        <v>2631</v>
      </c>
      <c r="D177" s="28">
        <v>2998</v>
      </c>
      <c r="E177" s="28">
        <v>3347</v>
      </c>
      <c r="F177" s="28">
        <v>3448</v>
      </c>
      <c r="G177" s="28">
        <v>3330</v>
      </c>
      <c r="H177" s="28">
        <v>3414</v>
      </c>
      <c r="I177" s="28">
        <v>3293</v>
      </c>
      <c r="J177" s="28">
        <v>3339</v>
      </c>
      <c r="K177" s="28">
        <v>3749</v>
      </c>
      <c r="L177" s="28">
        <v>3581</v>
      </c>
      <c r="M177" s="28">
        <v>3663</v>
      </c>
      <c r="N177" s="28">
        <v>3592</v>
      </c>
      <c r="O177" s="28">
        <v>4543</v>
      </c>
      <c r="P177" s="28">
        <v>4429</v>
      </c>
      <c r="Q177" s="28">
        <v>4537</v>
      </c>
      <c r="R177" s="28">
        <v>4284</v>
      </c>
      <c r="S177" s="28">
        <v>4622</v>
      </c>
      <c r="T177" s="28">
        <v>5079</v>
      </c>
      <c r="U177" s="28">
        <v>4980</v>
      </c>
    </row>
    <row r="178" spans="1:21" ht="15" customHeight="1">
      <c r="A178" s="13" t="s">
        <v>224</v>
      </c>
      <c r="B178" s="28">
        <v>283</v>
      </c>
      <c r="C178" s="28">
        <v>408</v>
      </c>
      <c r="D178" s="28">
        <v>446</v>
      </c>
      <c r="E178" s="28">
        <v>702</v>
      </c>
      <c r="F178" s="28">
        <v>534</v>
      </c>
      <c r="G178" s="28">
        <v>538</v>
      </c>
      <c r="H178" s="28">
        <v>557</v>
      </c>
      <c r="I178" s="28">
        <v>580</v>
      </c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</row>
    <row r="179" spans="1:21" ht="15" customHeight="1">
      <c r="A179" s="13" t="s">
        <v>225</v>
      </c>
      <c r="B179" s="26"/>
      <c r="C179" s="26"/>
      <c r="D179" s="26"/>
      <c r="E179" s="26"/>
      <c r="F179" s="26"/>
      <c r="G179" s="26"/>
      <c r="H179" s="28">
        <v>557</v>
      </c>
      <c r="I179" s="28">
        <v>144</v>
      </c>
      <c r="J179" s="28">
        <v>706</v>
      </c>
      <c r="K179" s="28">
        <v>789</v>
      </c>
      <c r="L179" s="28">
        <v>794</v>
      </c>
      <c r="M179" s="28">
        <v>856</v>
      </c>
      <c r="N179" s="28">
        <v>966</v>
      </c>
      <c r="O179" s="28">
        <v>1207</v>
      </c>
      <c r="P179" s="28">
        <v>1093</v>
      </c>
      <c r="Q179" s="28">
        <v>1303</v>
      </c>
      <c r="R179" s="28">
        <v>2132</v>
      </c>
      <c r="S179" s="28">
        <v>2527</v>
      </c>
      <c r="T179" s="28">
        <v>2492</v>
      </c>
      <c r="U179" s="28">
        <v>2368</v>
      </c>
    </row>
    <row r="180" spans="1:21" ht="15" customHeight="1">
      <c r="A180" s="10" t="s">
        <v>226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ht="15" customHeight="1">
      <c r="A181" s="12" t="s">
        <v>227</v>
      </c>
      <c r="B181" s="28">
        <v>1583</v>
      </c>
      <c r="C181" s="28">
        <v>1818</v>
      </c>
      <c r="D181" s="28">
        <v>2014</v>
      </c>
      <c r="E181" s="28">
        <v>2007</v>
      </c>
      <c r="F181" s="28">
        <v>2106</v>
      </c>
      <c r="G181" s="28">
        <v>2421</v>
      </c>
      <c r="H181" s="28">
        <v>2572</v>
      </c>
      <c r="I181" s="28">
        <v>2661</v>
      </c>
      <c r="J181" s="28">
        <v>2609</v>
      </c>
      <c r="K181" s="28">
        <v>3001</v>
      </c>
      <c r="L181" s="28">
        <v>3075</v>
      </c>
      <c r="M181" s="28">
        <v>3163</v>
      </c>
      <c r="N181" s="28">
        <v>3535</v>
      </c>
      <c r="O181" s="28">
        <v>3674</v>
      </c>
      <c r="P181" s="28">
        <v>2889</v>
      </c>
      <c r="Q181" s="28">
        <v>3061</v>
      </c>
      <c r="R181" s="28">
        <v>3807</v>
      </c>
      <c r="S181" s="28">
        <v>4121</v>
      </c>
      <c r="T181" s="28">
        <v>4553</v>
      </c>
      <c r="U181" s="28">
        <v>4280</v>
      </c>
    </row>
    <row r="182" spans="1:21" ht="15" customHeight="1">
      <c r="A182" s="13" t="s">
        <v>228</v>
      </c>
      <c r="B182" s="28">
        <v>1583</v>
      </c>
      <c r="C182" s="28">
        <v>1818</v>
      </c>
      <c r="D182" s="28">
        <v>2014</v>
      </c>
      <c r="E182" s="28">
        <v>2007</v>
      </c>
      <c r="F182" s="28">
        <v>2106</v>
      </c>
      <c r="G182" s="28">
        <v>2421</v>
      </c>
      <c r="H182" s="28">
        <v>2572</v>
      </c>
      <c r="I182" s="28">
        <v>2661</v>
      </c>
      <c r="J182" s="28">
        <v>2609</v>
      </c>
      <c r="K182" s="28">
        <v>3001</v>
      </c>
      <c r="L182" s="28">
        <v>3075</v>
      </c>
      <c r="M182" s="28">
        <v>3163</v>
      </c>
      <c r="N182" s="28">
        <v>3535</v>
      </c>
      <c r="O182" s="28">
        <v>3674</v>
      </c>
      <c r="P182" s="28">
        <v>2889</v>
      </c>
      <c r="Q182" s="28">
        <v>3061</v>
      </c>
      <c r="R182" s="28">
        <v>3807</v>
      </c>
      <c r="S182" s="28">
        <v>4121</v>
      </c>
      <c r="T182" s="28">
        <v>4553</v>
      </c>
      <c r="U182" s="28">
        <v>4280</v>
      </c>
    </row>
    <row r="183" spans="1:21" ht="15" customHeight="1">
      <c r="A183" s="10" t="s">
        <v>229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ht="15" customHeight="1">
      <c r="A184" s="12" t="s">
        <v>230</v>
      </c>
      <c r="B184" s="26"/>
      <c r="C184" s="26"/>
      <c r="D184" s="26"/>
      <c r="E184" s="26"/>
      <c r="F184" s="26"/>
      <c r="G184" s="26">
        <v>24014</v>
      </c>
      <c r="H184" s="26"/>
      <c r="I184" s="26">
        <v>23599</v>
      </c>
      <c r="J184" s="26">
        <v>24318</v>
      </c>
      <c r="K184" s="26">
        <v>25347</v>
      </c>
      <c r="L184" s="26">
        <v>24786</v>
      </c>
      <c r="M184" s="26">
        <v>26550</v>
      </c>
      <c r="N184" s="26">
        <v>26952</v>
      </c>
      <c r="O184" s="26">
        <v>27354</v>
      </c>
      <c r="P184" s="26">
        <v>23928</v>
      </c>
      <c r="Q184" s="26">
        <v>26604</v>
      </c>
      <c r="R184" s="26">
        <v>31245</v>
      </c>
      <c r="S184" s="26">
        <v>31682</v>
      </c>
      <c r="T184" s="26">
        <v>31850</v>
      </c>
      <c r="U184" s="26">
        <v>31753</v>
      </c>
    </row>
    <row r="185" spans="1:21" ht="15" customHeight="1">
      <c r="A185" s="12" t="s">
        <v>231</v>
      </c>
      <c r="B185" s="26"/>
      <c r="C185" s="26"/>
      <c r="D185" s="26"/>
      <c r="E185" s="26"/>
      <c r="F185" s="26"/>
      <c r="G185" s="26">
        <v>24014</v>
      </c>
      <c r="H185" s="26"/>
      <c r="I185" s="26">
        <v>23599</v>
      </c>
      <c r="J185" s="26">
        <v>24318</v>
      </c>
      <c r="K185" s="26">
        <v>25347</v>
      </c>
      <c r="L185" s="26">
        <v>24786</v>
      </c>
      <c r="M185" s="26">
        <v>26550</v>
      </c>
      <c r="N185" s="26">
        <v>26952</v>
      </c>
      <c r="O185" s="26">
        <v>27354</v>
      </c>
      <c r="P185" s="26">
        <v>23928</v>
      </c>
      <c r="Q185" s="26">
        <v>26604</v>
      </c>
      <c r="R185" s="26">
        <v>31245</v>
      </c>
      <c r="S185" s="26">
        <v>31682</v>
      </c>
      <c r="T185" s="26">
        <v>31850</v>
      </c>
      <c r="U185" s="26">
        <v>31753</v>
      </c>
    </row>
    <row r="186" spans="1:21" ht="15" customHeight="1">
      <c r="A186" s="10" t="s">
        <v>232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5" customHeight="1">
      <c r="A187" s="12" t="s">
        <v>232</v>
      </c>
      <c r="B187" s="26"/>
      <c r="C187" s="29">
        <v>61</v>
      </c>
      <c r="D187" s="29">
        <v>87</v>
      </c>
      <c r="E187" s="29">
        <v>98.6</v>
      </c>
      <c r="F187" s="29">
        <v>96.9</v>
      </c>
      <c r="G187" s="29">
        <v>97.8</v>
      </c>
      <c r="H187" s="26"/>
      <c r="I187" s="28">
        <v>102.1</v>
      </c>
      <c r="J187" s="28">
        <v>106.8</v>
      </c>
      <c r="K187" s="28">
        <v>103</v>
      </c>
      <c r="L187" s="29">
        <v>91.5</v>
      </c>
      <c r="M187" s="29">
        <v>90.5</v>
      </c>
      <c r="N187" s="28">
        <v>216.4</v>
      </c>
      <c r="O187" s="28">
        <v>214.6</v>
      </c>
      <c r="P187" s="28">
        <v>206</v>
      </c>
      <c r="Q187" s="26"/>
      <c r="R187" s="28">
        <v>237</v>
      </c>
      <c r="S187" s="28">
        <v>239</v>
      </c>
      <c r="T187" s="28">
        <v>237</v>
      </c>
      <c r="U187" s="28">
        <v>219</v>
      </c>
    </row>
    <row r="188" spans="1:21" ht="15" customHeight="1">
      <c r="A188" s="13" t="s">
        <v>233</v>
      </c>
      <c r="B188" s="26"/>
      <c r="C188" s="29">
        <v>45</v>
      </c>
      <c r="D188" s="29">
        <v>68</v>
      </c>
      <c r="E188" s="29">
        <v>80.5</v>
      </c>
      <c r="F188" s="29">
        <v>76</v>
      </c>
      <c r="G188" s="29">
        <v>76.8</v>
      </c>
      <c r="H188" s="26"/>
      <c r="I188" s="29">
        <v>80.400000000000006</v>
      </c>
      <c r="J188" s="29">
        <v>88.8</v>
      </c>
      <c r="K188" s="29">
        <v>89.3</v>
      </c>
      <c r="L188" s="29">
        <v>79.400000000000006</v>
      </c>
      <c r="M188" s="29">
        <v>77.400000000000006</v>
      </c>
      <c r="N188" s="28">
        <v>177.8</v>
      </c>
      <c r="O188" s="28">
        <v>186</v>
      </c>
      <c r="P188" s="29">
        <v>93</v>
      </c>
      <c r="Q188" s="26"/>
      <c r="R188" s="29">
        <v>99</v>
      </c>
      <c r="S188" s="28">
        <v>104</v>
      </c>
      <c r="T188" s="28">
        <v>117</v>
      </c>
      <c r="U188" s="28">
        <v>113</v>
      </c>
    </row>
    <row r="189" spans="1:21" ht="15" customHeight="1">
      <c r="A189" s="13" t="s">
        <v>234</v>
      </c>
      <c r="B189" s="26"/>
      <c r="C189" s="26"/>
      <c r="D189" s="26"/>
      <c r="E189" s="26"/>
      <c r="F189" s="29">
        <v>13.6</v>
      </c>
      <c r="G189" s="29">
        <v>8.9</v>
      </c>
      <c r="H189" s="26"/>
      <c r="I189" s="29">
        <v>7.1</v>
      </c>
      <c r="J189" s="29">
        <v>10.3</v>
      </c>
      <c r="K189" s="29">
        <v>6.6</v>
      </c>
      <c r="L189" s="29">
        <v>6.7</v>
      </c>
      <c r="M189" s="29">
        <v>6</v>
      </c>
      <c r="N189" s="29">
        <v>13</v>
      </c>
      <c r="O189" s="29">
        <v>5.8</v>
      </c>
      <c r="P189" s="29">
        <v>43</v>
      </c>
      <c r="Q189" s="26"/>
      <c r="R189" s="29">
        <v>29</v>
      </c>
      <c r="S189" s="29">
        <v>46</v>
      </c>
      <c r="T189" s="29">
        <v>52</v>
      </c>
      <c r="U189" s="29">
        <v>56</v>
      </c>
    </row>
    <row r="190" spans="1:21" ht="15" customHeight="1">
      <c r="A190" s="13" t="s">
        <v>235</v>
      </c>
      <c r="B190" s="26"/>
      <c r="C190" s="29">
        <v>16</v>
      </c>
      <c r="D190" s="29">
        <v>19</v>
      </c>
      <c r="E190" s="29">
        <v>18.100000000000001</v>
      </c>
      <c r="F190" s="29">
        <v>7.3</v>
      </c>
      <c r="G190" s="29">
        <v>12.1</v>
      </c>
      <c r="H190" s="26"/>
      <c r="I190" s="29">
        <v>14.6</v>
      </c>
      <c r="J190" s="29">
        <v>7.7</v>
      </c>
      <c r="K190" s="29">
        <v>7.1</v>
      </c>
      <c r="L190" s="29">
        <v>5.4</v>
      </c>
      <c r="M190" s="29">
        <v>7.1</v>
      </c>
      <c r="N190" s="29">
        <v>25.6</v>
      </c>
      <c r="O190" s="29">
        <v>22.8</v>
      </c>
      <c r="P190" s="29">
        <v>70</v>
      </c>
      <c r="Q190" s="26"/>
      <c r="R190" s="28">
        <v>109</v>
      </c>
      <c r="S190" s="29">
        <v>89</v>
      </c>
      <c r="T190" s="29">
        <v>68</v>
      </c>
      <c r="U190" s="29">
        <v>50</v>
      </c>
    </row>
    <row r="191" spans="1:21" ht="15" customHeight="1">
      <c r="A191" s="10" t="s">
        <v>236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ht="15" customHeight="1">
      <c r="A192" s="12" t="s">
        <v>237</v>
      </c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>
        <v>18590</v>
      </c>
      <c r="O192" s="26">
        <v>19219</v>
      </c>
      <c r="P192" s="26">
        <v>14563</v>
      </c>
      <c r="Q192" s="26">
        <v>17003</v>
      </c>
      <c r="R192" s="26"/>
      <c r="S192" s="26"/>
      <c r="T192" s="26"/>
      <c r="U192" s="26"/>
    </row>
    <row r="193" spans="1:21" ht="15" customHeight="1">
      <c r="A193" s="12" t="s">
        <v>238</v>
      </c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>
        <v>12913</v>
      </c>
      <c r="R193" s="26"/>
      <c r="S193" s="26"/>
      <c r="T193" s="26"/>
      <c r="U193" s="26"/>
    </row>
    <row r="194" spans="1:21" ht="15" customHeight="1">
      <c r="A194" s="12" t="s">
        <v>239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>
        <v>17816</v>
      </c>
      <c r="R194" s="26">
        <v>22486</v>
      </c>
      <c r="S194" s="26">
        <v>25240</v>
      </c>
      <c r="T194" s="26">
        <v>23583</v>
      </c>
      <c r="U194" s="26">
        <v>23309</v>
      </c>
    </row>
    <row r="195" spans="1:21" ht="15" customHeight="1">
      <c r="A195" s="12" t="s">
        <v>240</v>
      </c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9">
        <v>10.39</v>
      </c>
      <c r="O195" s="29">
        <v>11.12</v>
      </c>
      <c r="P195" s="29">
        <v>8.64</v>
      </c>
      <c r="Q195" s="26"/>
      <c r="R195" s="26"/>
      <c r="S195" s="26"/>
      <c r="T195" s="26"/>
      <c r="U195" s="26"/>
    </row>
    <row r="196" spans="1:21" ht="15" customHeight="1">
      <c r="A196" s="12" t="s">
        <v>241</v>
      </c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9">
        <v>10.26</v>
      </c>
      <c r="R196" s="29">
        <v>11.98</v>
      </c>
      <c r="S196" s="29">
        <v>12.69</v>
      </c>
      <c r="T196" s="29">
        <v>11.9</v>
      </c>
      <c r="U196" s="29">
        <v>12.17</v>
      </c>
    </row>
    <row r="197" spans="1:21" ht="15" customHeight="1">
      <c r="A197" s="12" t="s">
        <v>242</v>
      </c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>
        <v>18.600000000000001</v>
      </c>
      <c r="O197" s="31">
        <v>18.600000000000001</v>
      </c>
      <c r="P197" s="31">
        <v>16.899999999999999</v>
      </c>
      <c r="Q197" s="31">
        <v>19.8</v>
      </c>
      <c r="R197" s="31"/>
      <c r="S197" s="31"/>
      <c r="T197" s="31"/>
      <c r="U197" s="31"/>
    </row>
    <row r="198" spans="1:21" ht="15" customHeight="1">
      <c r="A198" s="10" t="s">
        <v>243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ht="15" customHeight="1">
      <c r="A199" s="12" t="s">
        <v>244</v>
      </c>
      <c r="B199" s="28">
        <v>4956</v>
      </c>
      <c r="C199" s="28">
        <v>5443</v>
      </c>
      <c r="D199" s="28">
        <v>5937</v>
      </c>
      <c r="E199" s="16">
        <v>-1608</v>
      </c>
      <c r="F199" s="28">
        <v>4927</v>
      </c>
      <c r="G199" s="28">
        <v>8383</v>
      </c>
      <c r="H199" s="28">
        <v>8144</v>
      </c>
      <c r="I199" s="28">
        <v>3577</v>
      </c>
      <c r="J199" s="28">
        <v>6279</v>
      </c>
      <c r="K199" s="28">
        <v>3861</v>
      </c>
      <c r="L199" s="28">
        <v>7276</v>
      </c>
      <c r="M199" s="26">
        <v>13164</v>
      </c>
      <c r="N199" s="26">
        <v>13121</v>
      </c>
      <c r="O199" s="26">
        <v>14716</v>
      </c>
      <c r="P199" s="26">
        <v>11225</v>
      </c>
      <c r="Q199" s="26">
        <v>13151</v>
      </c>
      <c r="R199" s="26">
        <v>15394</v>
      </c>
      <c r="S199" s="26">
        <v>16566</v>
      </c>
      <c r="T199" s="26">
        <v>15919</v>
      </c>
      <c r="U199" s="26">
        <v>16199</v>
      </c>
    </row>
    <row r="200" spans="1:21" ht="15" customHeight="1">
      <c r="A200" s="12" t="s">
        <v>245</v>
      </c>
      <c r="B200" s="28">
        <v>4956</v>
      </c>
      <c r="C200" s="28">
        <v>5443</v>
      </c>
      <c r="D200" s="28">
        <v>5937</v>
      </c>
      <c r="E200" s="16">
        <v>-1608</v>
      </c>
      <c r="F200" s="28">
        <v>4927</v>
      </c>
      <c r="G200" s="28">
        <v>8383</v>
      </c>
      <c r="H200" s="28">
        <v>8144</v>
      </c>
      <c r="I200" s="28">
        <v>3577</v>
      </c>
      <c r="J200" s="28">
        <v>6279</v>
      </c>
      <c r="K200" s="28">
        <v>3861</v>
      </c>
      <c r="L200" s="28">
        <v>7276</v>
      </c>
      <c r="M200" s="26">
        <v>13164</v>
      </c>
      <c r="N200" s="26">
        <v>13120</v>
      </c>
      <c r="O200" s="26">
        <v>14715</v>
      </c>
      <c r="P200" s="26">
        <v>11225</v>
      </c>
      <c r="Q200" s="26">
        <v>13151</v>
      </c>
      <c r="R200" s="26">
        <v>15393</v>
      </c>
      <c r="S200" s="26">
        <v>16566</v>
      </c>
      <c r="T200" s="26">
        <v>15919</v>
      </c>
      <c r="U200" s="26">
        <v>16199</v>
      </c>
    </row>
    <row r="201" spans="1:21" ht="15" customHeight="1">
      <c r="A201" s="12" t="s">
        <v>246</v>
      </c>
      <c r="B201" s="28">
        <v>4550</v>
      </c>
      <c r="C201" s="28">
        <v>4942</v>
      </c>
      <c r="D201" s="28">
        <v>5573</v>
      </c>
      <c r="E201" s="16">
        <v>-1664</v>
      </c>
      <c r="F201" s="28">
        <v>4618</v>
      </c>
      <c r="G201" s="28">
        <v>8020</v>
      </c>
      <c r="H201" s="28">
        <v>8142</v>
      </c>
      <c r="I201" s="28">
        <v>3582</v>
      </c>
      <c r="J201" s="28">
        <v>6298</v>
      </c>
      <c r="K201" s="28">
        <v>3914</v>
      </c>
      <c r="L201" s="28">
        <v>7316</v>
      </c>
      <c r="M201" s="26">
        <v>13178</v>
      </c>
      <c r="N201" s="26">
        <v>13130</v>
      </c>
      <c r="O201" s="26">
        <v>14731</v>
      </c>
      <c r="P201" s="26">
        <v>11239</v>
      </c>
      <c r="Q201" s="26">
        <v>13128</v>
      </c>
      <c r="R201" s="26">
        <v>15380</v>
      </c>
      <c r="S201" s="26">
        <v>16565</v>
      </c>
      <c r="T201" s="26">
        <v>15917</v>
      </c>
      <c r="U201" s="26">
        <v>16198</v>
      </c>
    </row>
    <row r="202" spans="1:21" ht="15" customHeight="1">
      <c r="A202" s="12" t="s">
        <v>247</v>
      </c>
      <c r="B202" s="26">
        <v>10103</v>
      </c>
      <c r="C202" s="26">
        <v>12959</v>
      </c>
      <c r="D202" s="26">
        <v>11241</v>
      </c>
      <c r="E202" s="16">
        <v>-1704</v>
      </c>
      <c r="F202" s="28">
        <v>9944</v>
      </c>
      <c r="G202" s="26">
        <v>12481</v>
      </c>
      <c r="H202" s="26">
        <v>13532</v>
      </c>
      <c r="I202" s="28">
        <v>7146</v>
      </c>
      <c r="J202" s="26">
        <v>10357</v>
      </c>
      <c r="K202" s="28">
        <v>7476</v>
      </c>
      <c r="L202" s="26">
        <v>11315</v>
      </c>
      <c r="M202" s="26">
        <v>18114</v>
      </c>
      <c r="N202" s="26">
        <v>18574</v>
      </c>
      <c r="O202" s="26">
        <v>19186</v>
      </c>
      <c r="P202" s="26">
        <v>14408</v>
      </c>
      <c r="Q202" s="26">
        <v>17376</v>
      </c>
      <c r="R202" s="26">
        <v>21475</v>
      </c>
      <c r="S202" s="26">
        <v>23078</v>
      </c>
      <c r="T202" s="26">
        <v>22064</v>
      </c>
      <c r="U202" s="26">
        <v>22213</v>
      </c>
    </row>
    <row r="203" spans="1:21" ht="15" customHeight="1">
      <c r="A203" s="12" t="s">
        <v>248</v>
      </c>
      <c r="B203" s="26">
        <v>13079</v>
      </c>
      <c r="C203" s="26">
        <v>16036</v>
      </c>
      <c r="D203" s="26">
        <v>14722</v>
      </c>
      <c r="E203" s="28">
        <v>2837</v>
      </c>
      <c r="F203" s="26">
        <v>13982</v>
      </c>
      <c r="G203" s="26">
        <v>18304</v>
      </c>
      <c r="H203" s="26">
        <v>17503</v>
      </c>
      <c r="I203" s="26">
        <v>11836</v>
      </c>
      <c r="J203" s="26">
        <v>14402</v>
      </c>
      <c r="K203" s="26">
        <v>12014</v>
      </c>
      <c r="L203" s="26">
        <v>15690</v>
      </c>
      <c r="M203" s="26">
        <v>22633</v>
      </c>
      <c r="N203" s="26">
        <v>23132</v>
      </c>
      <c r="O203" s="26">
        <v>24936</v>
      </c>
      <c r="P203" s="26">
        <v>19930</v>
      </c>
      <c r="Q203" s="26">
        <v>23216</v>
      </c>
      <c r="R203" s="26">
        <v>27891</v>
      </c>
      <c r="S203" s="26">
        <v>30227</v>
      </c>
      <c r="T203" s="26">
        <v>29635</v>
      </c>
      <c r="U203" s="26">
        <v>29561</v>
      </c>
    </row>
    <row r="204" spans="1:21" ht="15" customHeight="1">
      <c r="A204" s="10" t="s">
        <v>249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spans="1:21" ht="15" customHeight="1">
      <c r="A205" s="12" t="s">
        <v>250</v>
      </c>
      <c r="B205" s="26"/>
      <c r="C205" s="17">
        <v>-17</v>
      </c>
      <c r="D205" s="16">
        <v>-252</v>
      </c>
      <c r="E205" s="17">
        <v>-68</v>
      </c>
      <c r="F205" s="29">
        <v>87</v>
      </c>
      <c r="G205" s="16">
        <v>-151</v>
      </c>
      <c r="H205" s="29">
        <v>19</v>
      </c>
      <c r="I205" s="17">
        <v>-34</v>
      </c>
      <c r="J205" s="17">
        <v>-32</v>
      </c>
      <c r="K205" s="16">
        <v>-158</v>
      </c>
      <c r="L205" s="16">
        <v>-103</v>
      </c>
      <c r="M205" s="29">
        <v>93</v>
      </c>
      <c r="N205" s="29">
        <v>29</v>
      </c>
      <c r="O205" s="16">
        <v>-156</v>
      </c>
      <c r="P205" s="28">
        <v>354</v>
      </c>
      <c r="Q205" s="17">
        <v>-85</v>
      </c>
      <c r="R205" s="28">
        <v>365</v>
      </c>
      <c r="S205" s="16">
        <v>-330</v>
      </c>
      <c r="T205" s="17">
        <v>-46</v>
      </c>
      <c r="U205" s="16">
        <v>-373</v>
      </c>
    </row>
    <row r="206" spans="1:21" ht="15" customHeight="1">
      <c r="A206" s="13" t="s">
        <v>251</v>
      </c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9">
        <v>69</v>
      </c>
      <c r="T206" s="16">
        <v>-119</v>
      </c>
      <c r="U206" s="16">
        <v>-362</v>
      </c>
    </row>
    <row r="207" spans="1:21" ht="15" customHeight="1">
      <c r="A207" s="10" t="s">
        <v>252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spans="1:21" ht="15" customHeight="1">
      <c r="A208" s="12" t="s">
        <v>253</v>
      </c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</row>
    <row r="209" spans="1:21" ht="15" customHeight="1">
      <c r="A209" s="13" t="s">
        <v>254</v>
      </c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8">
        <v>989</v>
      </c>
      <c r="P209" s="28">
        <v>987</v>
      </c>
      <c r="Q209" s="28">
        <v>1073</v>
      </c>
      <c r="R209" s="28">
        <v>1215</v>
      </c>
      <c r="S209" s="28">
        <v>1364</v>
      </c>
      <c r="T209" s="28">
        <v>1481</v>
      </c>
      <c r="U209" s="28">
        <v>1492</v>
      </c>
    </row>
    <row r="210" spans="1:21" ht="15" customHeight="1">
      <c r="A210" s="13" t="s">
        <v>255</v>
      </c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9">
        <v>3</v>
      </c>
      <c r="Q210" s="29">
        <v>5</v>
      </c>
      <c r="R210" s="29">
        <v>21</v>
      </c>
      <c r="S210" s="29">
        <v>24</v>
      </c>
      <c r="T210" s="29">
        <v>92</v>
      </c>
      <c r="U210" s="29">
        <v>88</v>
      </c>
    </row>
    <row r="211" spans="1:21" ht="15" customHeight="1">
      <c r="A211" s="13" t="s">
        <v>256</v>
      </c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8">
        <v>111</v>
      </c>
      <c r="P211" s="28">
        <v>104</v>
      </c>
      <c r="Q211" s="28">
        <v>108</v>
      </c>
      <c r="R211" s="28">
        <v>165</v>
      </c>
      <c r="S211" s="28">
        <v>225</v>
      </c>
      <c r="T211" s="28">
        <v>268</v>
      </c>
      <c r="U211" s="28">
        <v>266</v>
      </c>
    </row>
    <row r="212" spans="1:21" ht="15" customHeight="1">
      <c r="A212" s="13" t="s">
        <v>257</v>
      </c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8">
        <v>149</v>
      </c>
      <c r="Q212" s="29">
        <v>75</v>
      </c>
      <c r="R212" s="28">
        <v>101</v>
      </c>
      <c r="S212" s="29">
        <v>62</v>
      </c>
      <c r="T212" s="29">
        <v>63</v>
      </c>
      <c r="U212" s="29">
        <v>55</v>
      </c>
    </row>
    <row r="213" spans="1:21" ht="15" customHeight="1">
      <c r="A213" s="10" t="s">
        <v>258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ht="15" customHeight="1">
      <c r="A214" s="12" t="s">
        <v>259</v>
      </c>
      <c r="B214" s="28">
        <v>417</v>
      </c>
      <c r="C214" s="28">
        <v>451</v>
      </c>
      <c r="D214" s="28">
        <v>509</v>
      </c>
      <c r="E214" s="28">
        <v>583</v>
      </c>
      <c r="F214" s="28">
        <v>711</v>
      </c>
      <c r="G214" s="28">
        <v>696</v>
      </c>
      <c r="H214" s="28">
        <v>598</v>
      </c>
      <c r="I214" s="28">
        <v>803</v>
      </c>
      <c r="J214" s="28">
        <v>780</v>
      </c>
      <c r="K214" s="28">
        <v>840</v>
      </c>
      <c r="L214" s="28">
        <v>897</v>
      </c>
      <c r="M214" s="28">
        <v>861</v>
      </c>
      <c r="N214" s="26"/>
      <c r="O214" s="26"/>
      <c r="P214" s="26"/>
      <c r="Q214" s="26"/>
      <c r="R214" s="26"/>
      <c r="S214" s="26"/>
      <c r="T214" s="26"/>
      <c r="U214" s="26"/>
    </row>
    <row r="215" spans="1:21" ht="15" customHeight="1">
      <c r="A215" s="12" t="s">
        <v>260</v>
      </c>
      <c r="B215" s="26">
        <v>47084</v>
      </c>
      <c r="C215" s="26">
        <v>55976</v>
      </c>
      <c r="D215" s="26">
        <v>61562</v>
      </c>
      <c r="E215" s="26">
        <v>54871</v>
      </c>
      <c r="F215" s="26">
        <v>53131</v>
      </c>
      <c r="G215" s="26">
        <v>61704</v>
      </c>
      <c r="H215" s="26">
        <v>63826</v>
      </c>
      <c r="I215" s="26">
        <v>58184</v>
      </c>
      <c r="J215" s="26">
        <v>51242</v>
      </c>
      <c r="K215" s="26">
        <v>55184</v>
      </c>
      <c r="L215" s="26">
        <v>49869</v>
      </c>
      <c r="M215" s="26">
        <v>54226</v>
      </c>
      <c r="N215" s="26">
        <v>59150</v>
      </c>
      <c r="O215" s="26">
        <v>61340</v>
      </c>
      <c r="P215" s="26">
        <v>54178</v>
      </c>
      <c r="Q215" s="26">
        <v>49027</v>
      </c>
      <c r="R215" s="26">
        <v>66944</v>
      </c>
      <c r="S215" s="26">
        <v>74333</v>
      </c>
      <c r="T215" s="26">
        <v>72634</v>
      </c>
      <c r="U215" s="26">
        <v>71477</v>
      </c>
    </row>
    <row r="216" spans="1:21" ht="15" customHeight="1">
      <c r="A216" s="12" t="s">
        <v>261</v>
      </c>
      <c r="B216" s="26">
        <v>47084</v>
      </c>
      <c r="C216" s="26">
        <v>55976</v>
      </c>
      <c r="D216" s="26">
        <v>61562</v>
      </c>
      <c r="E216" s="26">
        <v>54871</v>
      </c>
      <c r="F216" s="26">
        <v>53131</v>
      </c>
      <c r="G216" s="26">
        <v>61704</v>
      </c>
      <c r="H216" s="26">
        <v>63388</v>
      </c>
      <c r="I216" s="26">
        <v>58184</v>
      </c>
      <c r="J216" s="26">
        <v>51115</v>
      </c>
      <c r="K216" s="26">
        <v>55011</v>
      </c>
      <c r="L216" s="26">
        <v>49709</v>
      </c>
      <c r="M216" s="26">
        <v>54012</v>
      </c>
      <c r="N216" s="26">
        <v>58898</v>
      </c>
      <c r="O216" s="26">
        <v>61200</v>
      </c>
      <c r="P216" s="26">
        <v>53755</v>
      </c>
      <c r="Q216" s="26">
        <v>48423</v>
      </c>
      <c r="R216" s="26">
        <v>66000</v>
      </c>
      <c r="S216" s="26">
        <v>73086</v>
      </c>
      <c r="T216" s="26">
        <v>71873</v>
      </c>
      <c r="U216" s="26">
        <v>70781</v>
      </c>
    </row>
    <row r="217" spans="1:21" ht="15" customHeight="1">
      <c r="A217" s="12" t="s">
        <v>262</v>
      </c>
      <c r="B217" s="28">
        <v>1043</v>
      </c>
      <c r="C217" s="28">
        <v>1541</v>
      </c>
      <c r="D217" s="28">
        <v>2256</v>
      </c>
      <c r="E217" s="28">
        <v>2204</v>
      </c>
      <c r="F217" s="28">
        <v>1925</v>
      </c>
      <c r="G217" s="28">
        <v>1971</v>
      </c>
      <c r="H217" s="28">
        <v>2215</v>
      </c>
      <c r="I217" s="28">
        <v>2015</v>
      </c>
      <c r="J217" s="28">
        <v>1935</v>
      </c>
      <c r="K217" s="28">
        <v>1880</v>
      </c>
      <c r="L217" s="28">
        <v>1670</v>
      </c>
      <c r="M217" s="28">
        <v>1377</v>
      </c>
      <c r="N217" s="28">
        <v>1089</v>
      </c>
      <c r="O217" s="28">
        <v>1405</v>
      </c>
      <c r="P217" s="28">
        <v>1001</v>
      </c>
      <c r="Q217" s="28">
        <v>839</v>
      </c>
      <c r="R217" s="28">
        <v>1640</v>
      </c>
      <c r="S217" s="28">
        <v>2622</v>
      </c>
      <c r="T217" s="28">
        <v>2551</v>
      </c>
      <c r="U217" s="28">
        <v>1824</v>
      </c>
    </row>
    <row r="218" spans="1:21" ht="15" customHeight="1">
      <c r="A218" s="12" t="s">
        <v>70</v>
      </c>
      <c r="B218" s="26">
        <v>60357</v>
      </c>
      <c r="C218" s="26">
        <v>72063</v>
      </c>
      <c r="D218" s="26">
        <v>79906</v>
      </c>
      <c r="E218" s="26">
        <v>73310</v>
      </c>
      <c r="F218" s="26">
        <v>71663</v>
      </c>
      <c r="G218" s="26">
        <v>83936</v>
      </c>
      <c r="H218" s="26">
        <v>84989</v>
      </c>
      <c r="I218" s="26">
        <v>78333</v>
      </c>
      <c r="J218" s="26">
        <v>71949</v>
      </c>
      <c r="K218" s="26">
        <v>78208</v>
      </c>
      <c r="L218" s="26">
        <v>70260</v>
      </c>
      <c r="M218" s="26">
        <v>72577</v>
      </c>
      <c r="N218" s="26">
        <v>81527</v>
      </c>
      <c r="O218" s="26">
        <v>83230</v>
      </c>
      <c r="P218" s="26">
        <v>72273</v>
      </c>
      <c r="Q218" s="26">
        <v>68585</v>
      </c>
      <c r="R218" s="26">
        <v>90681</v>
      </c>
      <c r="S218" s="26">
        <v>102605</v>
      </c>
      <c r="T218" s="26">
        <v>100423</v>
      </c>
      <c r="U218" s="26">
        <v>98678</v>
      </c>
    </row>
    <row r="219" spans="1:21" ht="15" customHeight="1">
      <c r="A219" s="12" t="s">
        <v>263</v>
      </c>
      <c r="B219" s="26">
        <v>11866</v>
      </c>
      <c r="C219" s="26">
        <v>14476</v>
      </c>
      <c r="D219" s="26">
        <v>16811</v>
      </c>
      <c r="E219" s="26">
        <v>16041</v>
      </c>
      <c r="F219" s="26">
        <v>16143</v>
      </c>
      <c r="G219" s="26">
        <v>19511</v>
      </c>
      <c r="H219" s="26">
        <v>18256</v>
      </c>
      <c r="I219" s="26">
        <v>17463</v>
      </c>
      <c r="J219" s="26">
        <v>18059</v>
      </c>
      <c r="K219" s="26">
        <v>19990</v>
      </c>
      <c r="L219" s="26">
        <v>17385</v>
      </c>
      <c r="M219" s="26">
        <v>18728</v>
      </c>
      <c r="N219" s="26">
        <v>19526</v>
      </c>
      <c r="O219" s="26">
        <v>17406</v>
      </c>
      <c r="P219" s="26">
        <v>16537</v>
      </c>
      <c r="Q219" s="26">
        <v>16061</v>
      </c>
      <c r="R219" s="26">
        <v>22898</v>
      </c>
      <c r="S219" s="26">
        <v>24932</v>
      </c>
      <c r="T219" s="26">
        <v>24101</v>
      </c>
      <c r="U219" s="26">
        <v>23422</v>
      </c>
    </row>
    <row r="220" spans="1:21" ht="15" customHeight="1">
      <c r="A220" s="10" t="s">
        <v>264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spans="1:21" ht="15" customHeight="1">
      <c r="A221" s="12" t="s">
        <v>265</v>
      </c>
      <c r="B221" s="26"/>
      <c r="C221" s="26"/>
      <c r="D221" s="26"/>
      <c r="E221" s="26"/>
      <c r="F221" s="26"/>
      <c r="G221" s="26"/>
      <c r="H221" s="26">
        <v>49385</v>
      </c>
      <c r="I221" s="26">
        <v>48040</v>
      </c>
      <c r="J221" s="26">
        <v>47328</v>
      </c>
      <c r="K221" s="26">
        <v>46563</v>
      </c>
      <c r="L221" s="26"/>
      <c r="M221" s="26">
        <v>43376</v>
      </c>
      <c r="N221" s="26">
        <v>42540</v>
      </c>
      <c r="O221" s="26">
        <v>41120</v>
      </c>
      <c r="P221" s="26">
        <v>38666</v>
      </c>
      <c r="Q221" s="26">
        <v>40636</v>
      </c>
      <c r="R221" s="26">
        <v>42318</v>
      </c>
      <c r="S221" s="26">
        <v>40686</v>
      </c>
      <c r="T221" s="26">
        <v>41162</v>
      </c>
      <c r="U221" s="26">
        <v>41624</v>
      </c>
    </row>
  </sheetData>
  <mergeCells count="80"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B12"/>
    <mergeCell ref="B13"/>
    <mergeCell ref="B14"/>
    <mergeCell ref="C12"/>
    <mergeCell ref="C13"/>
    <mergeCell ref="C14"/>
    <mergeCell ref="D12"/>
    <mergeCell ref="D13"/>
    <mergeCell ref="D14"/>
    <mergeCell ref="E12"/>
    <mergeCell ref="E13"/>
    <mergeCell ref="E14"/>
    <mergeCell ref="F12"/>
    <mergeCell ref="F13"/>
    <mergeCell ref="F14"/>
    <mergeCell ref="G12"/>
    <mergeCell ref="G13"/>
    <mergeCell ref="G14"/>
    <mergeCell ref="H12"/>
    <mergeCell ref="H13"/>
    <mergeCell ref="H14"/>
    <mergeCell ref="I12"/>
    <mergeCell ref="I13"/>
    <mergeCell ref="I14"/>
    <mergeCell ref="J12"/>
    <mergeCell ref="J13"/>
    <mergeCell ref="J14"/>
    <mergeCell ref="K12"/>
    <mergeCell ref="K13"/>
    <mergeCell ref="K14"/>
    <mergeCell ref="L12"/>
    <mergeCell ref="L13"/>
    <mergeCell ref="L14"/>
    <mergeCell ref="M12"/>
    <mergeCell ref="M13"/>
    <mergeCell ref="M14"/>
    <mergeCell ref="N12"/>
    <mergeCell ref="N13"/>
    <mergeCell ref="N14"/>
    <mergeCell ref="O12"/>
    <mergeCell ref="O13"/>
    <mergeCell ref="O14"/>
    <mergeCell ref="P12"/>
    <mergeCell ref="P13"/>
    <mergeCell ref="P14"/>
    <mergeCell ref="Q12"/>
    <mergeCell ref="Q13"/>
    <mergeCell ref="Q14"/>
    <mergeCell ref="R12"/>
    <mergeCell ref="R13"/>
    <mergeCell ref="R14"/>
    <mergeCell ref="S12"/>
    <mergeCell ref="S13"/>
    <mergeCell ref="S14"/>
    <mergeCell ref="T12"/>
    <mergeCell ref="T13"/>
    <mergeCell ref="T14"/>
    <mergeCell ref="U12"/>
    <mergeCell ref="U13"/>
    <mergeCell ref="U14"/>
  </mergeCells>
  <pageMargins left="0.5" right="0.5" top="1" bottom="1" header="0.5" footer="0.7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Jacob Carlberg</cp:lastModifiedBy>
  <cp:revision/>
  <dcterms:created xsi:type="dcterms:W3CDTF">2026-05-07T12:44:49Z</dcterms:created>
  <dcterms:modified xsi:type="dcterms:W3CDTF">2026-05-07T12:48:03Z</dcterms:modified>
  <cp:category/>
  <cp:contentStatus/>
</cp:coreProperties>
</file>